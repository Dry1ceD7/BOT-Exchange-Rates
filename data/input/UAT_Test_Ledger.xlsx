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FEB" sheetId="1" state="visible" r:id="rId1"/>
    <sheet name="Exrate USD" sheetId="2" state="visible" r:id="rId2"/>
    <sheet name="Exrate EUR" sheetId="3" state="visible" r:id="rId3"/>
  </sheets>
  <definedNames>
    <definedName name="_xlnm._FilterDatabase" localSheetId="0" hidden="1">'FEB'!$A$1:$T$158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-* #,##0_-;\-* #,##0_-;_-* &quot;-&quot;??_-;_-@_-"/>
    <numFmt numFmtId="166" formatCode="[$-409]dd\-mmm\-yy;@"/>
    <numFmt numFmtId="167" formatCode="_-* #,##0.0000_-;\-* #,##0.0000_-;_-* &quot;-&quot;??_-;_-@_-"/>
    <numFmt numFmtId="168" formatCode="B1d\-mmm\-yy"/>
    <numFmt numFmtId="169" formatCode="0.0000"/>
  </numFmts>
  <fonts count="20">
    <font>
      <name val="ARIAL"/>
      <charset val="1"/>
      <color indexed="8"/>
      <sz val="10"/>
    </font>
    <font>
      <name val="Cordia New"/>
      <family val="2"/>
      <sz val="14"/>
    </font>
    <font>
      <name val="Browallia New"/>
      <family val="2"/>
      <b val="1"/>
      <sz val="14"/>
    </font>
    <font>
      <name val="Arial"/>
      <family val="2"/>
      <color indexed="8"/>
      <sz val="10"/>
    </font>
    <font>
      <name val="Browallia New"/>
      <family val="2"/>
      <b val="1"/>
      <color rgb="FFFF0000"/>
      <sz val="14"/>
    </font>
    <font>
      <name val="Browallia New"/>
      <family val="2"/>
      <sz val="14"/>
    </font>
    <font>
      <name val="Browallia New"/>
      <family val="2"/>
      <color indexed="8"/>
      <sz val="14"/>
    </font>
    <font>
      <name val="Browallia New"/>
      <family val="2"/>
      <color theme="1"/>
      <sz val="14"/>
    </font>
    <font>
      <name val="Calibri"/>
      <charset val="222"/>
      <family val="2"/>
      <color theme="1"/>
      <sz val="11"/>
      <scheme val="minor"/>
    </font>
    <font>
      <name val="Browallia New"/>
      <family val="2"/>
      <color rgb="FFFF0000"/>
      <sz val="14"/>
    </font>
    <font>
      <name val="Arial"/>
      <family val="2"/>
      <sz val="10"/>
    </font>
    <font>
      <name val="Browallia New"/>
      <family val="2"/>
      <sz val="13.5"/>
    </font>
    <font>
      <name val="Browallia New"/>
      <family val="2"/>
      <sz val="13"/>
    </font>
    <font>
      <name val="Browallia New"/>
      <family val="2"/>
      <color rgb="FFFF0000"/>
      <sz val="13"/>
    </font>
    <font>
      <name val="Browallia New"/>
      <family val="2"/>
      <color indexed="8"/>
      <sz val="13"/>
    </font>
    <font>
      <name val="Browallia New"/>
      <family val="2"/>
      <b val="1"/>
      <color indexed="8"/>
      <sz val="14"/>
    </font>
    <font>
      <name val="Angsana New"/>
      <family val="1"/>
      <color indexed="8"/>
      <sz val="16"/>
    </font>
    <font>
      <name val="Browallia New"/>
      <family val="2"/>
      <b val="1"/>
      <sz val="13.5"/>
    </font>
    <font>
      <name val="Browallia New"/>
      <family val="2"/>
      <color indexed="8"/>
      <sz val="13.5"/>
    </font>
    <font>
      <name val="ARIAL"/>
      <charset val="1"/>
      <sz val="8"/>
    </font>
  </fonts>
  <fills count="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3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</borders>
  <cellStyleXfs count="15">
    <xf numFmtId="0" fontId="0" fillId="0" borderId="0" applyAlignment="1">
      <alignment vertical="top"/>
    </xf>
    <xf numFmtId="43" fontId="3" fillId="0" borderId="0" applyAlignment="1">
      <alignment vertical="top"/>
    </xf>
    <xf numFmtId="0" fontId="1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43" fontId="8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243">
    <xf numFmtId="0" fontId="0" fillId="0" borderId="0" applyAlignment="1" pivotButton="0" quotePrefix="0" xfId="0">
      <alignment vertical="top"/>
    </xf>
    <xf numFmtId="0" fontId="2" fillId="0" borderId="0" applyAlignment="1" pivotButton="0" quotePrefix="0" xfId="2">
      <alignment horizontal="center"/>
    </xf>
    <xf numFmtId="14" fontId="2" fillId="0" borderId="0" applyAlignment="1" pivotButton="0" quotePrefix="0" xfId="2">
      <alignment horizontal="center"/>
    </xf>
    <xf numFmtId="49" fontId="2" fillId="0" borderId="0" applyAlignment="1" pivotButton="0" quotePrefix="0" xfId="2">
      <alignment horizontal="left"/>
    </xf>
    <xf numFmtId="164" fontId="2" fillId="0" borderId="0" applyAlignment="1" pivotButton="0" quotePrefix="0" xfId="1">
      <alignment horizontal="center"/>
    </xf>
    <xf numFmtId="165" fontId="2" fillId="0" borderId="0" applyAlignment="1" pivotButton="0" quotePrefix="0" xfId="1">
      <alignment horizontal="left"/>
    </xf>
    <xf numFmtId="164" fontId="2" fillId="0" borderId="0" applyAlignment="1" pivotButton="0" quotePrefix="0" xfId="1">
      <alignment horizontal="center"/>
    </xf>
    <xf numFmtId="164" fontId="4" fillId="0" borderId="0" applyAlignment="1" pivotButton="0" quotePrefix="0" xfId="1">
      <alignment horizontal="center"/>
    </xf>
    <xf numFmtId="0" fontId="4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applyAlignment="1" pivotButton="0" quotePrefix="0" xfId="3">
      <alignment horizontal="center"/>
    </xf>
    <xf numFmtId="166" fontId="2" fillId="0" borderId="0" applyAlignment="1" pivotButton="0" quotePrefix="0" xfId="4">
      <alignment horizontal="center"/>
    </xf>
    <xf numFmtId="0" fontId="4" fillId="0" borderId="0" applyAlignment="1" pivotButton="0" quotePrefix="0" xfId="4">
      <alignment horizontal="center"/>
    </xf>
    <xf numFmtId="164" fontId="5" fillId="0" borderId="0" applyAlignment="1" pivotButton="0" quotePrefix="0" xfId="1">
      <alignment horizontal="center"/>
    </xf>
    <xf numFmtId="0" fontId="5" fillId="0" borderId="0" applyAlignment="1" pivotButton="0" quotePrefix="0" xfId="4">
      <alignment horizontal="center" vertical="top"/>
    </xf>
    <xf numFmtId="14" fontId="5" fillId="2" borderId="1" applyAlignment="1" pivotButton="0" quotePrefix="0" xfId="0">
      <alignment horizontal="center" vertical="top"/>
    </xf>
    <xf numFmtId="0" fontId="6" fillId="2" borderId="1" applyAlignment="1" pivotButton="0" quotePrefix="0" xfId="0">
      <alignment horizontal="left" vertical="top"/>
    </xf>
    <xf numFmtId="0" fontId="6" fillId="2" borderId="1" applyAlignment="1" pivotButton="0" quotePrefix="0" xfId="0">
      <alignment vertical="top"/>
    </xf>
    <xf numFmtId="164" fontId="6" fillId="2" borderId="1" applyAlignment="1" pivotButton="0" quotePrefix="0" xfId="1">
      <alignment horizontal="center" vertical="top"/>
    </xf>
    <xf numFmtId="164" fontId="7" fillId="2" borderId="1" applyAlignment="1" pivotButton="0" quotePrefix="0" xfId="1">
      <alignment horizontal="center"/>
    </xf>
    <xf numFmtId="164" fontId="7" fillId="2" borderId="1" applyAlignment="1" pivotButton="0" quotePrefix="0" xfId="5">
      <alignment horizontal="left"/>
    </xf>
    <xf numFmtId="164" fontId="6" fillId="2" borderId="0" applyAlignment="1" pivotButton="0" quotePrefix="0" xfId="1">
      <alignment vertical="top"/>
    </xf>
    <xf numFmtId="164" fontId="5" fillId="2" borderId="0" applyAlignment="1" pivotButton="0" quotePrefix="0" xfId="1">
      <alignment vertical="top"/>
    </xf>
    <xf numFmtId="164" fontId="9" fillId="2" borderId="0" applyAlignment="1" pivotButton="0" quotePrefix="0" xfId="1">
      <alignment vertical="top"/>
    </xf>
    <xf numFmtId="0" fontId="3" fillId="2" borderId="0" pivotButton="0" quotePrefix="0" xfId="0"/>
    <xf numFmtId="164" fontId="6" fillId="0" borderId="0" pivotButton="0" quotePrefix="0" xfId="1"/>
    <xf numFmtId="49" fontId="11" fillId="0" borderId="2" applyAlignment="1" pivotButton="0" quotePrefix="0" xfId="6">
      <alignment horizontal="center"/>
    </xf>
    <xf numFmtId="0" fontId="9" fillId="0" borderId="3" applyAlignment="1" pivotButton="0" quotePrefix="0" xfId="4">
      <alignment vertical="top"/>
    </xf>
    <xf numFmtId="0" fontId="6" fillId="0" borderId="1" applyAlignment="1" pivotButton="0" quotePrefix="0" xfId="0">
      <alignment horizontal="center" vertical="top"/>
    </xf>
    <xf numFmtId="14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vertical="top"/>
    </xf>
    <xf numFmtId="164" fontId="5" fillId="0" borderId="1" applyAlignment="1" pivotButton="0" quotePrefix="0" xfId="1">
      <alignment horizontal="center" vertical="top"/>
    </xf>
    <xf numFmtId="165" fontId="5" fillId="0" borderId="1" applyAlignment="1" pivotButton="0" quotePrefix="0" xfId="1">
      <alignment horizontal="left" vertical="top"/>
    </xf>
    <xf numFmtId="164" fontId="5" fillId="0" borderId="0" applyAlignment="1" pivotButton="0" quotePrefix="0" xfId="1">
      <alignment vertical="top"/>
    </xf>
    <xf numFmtId="164" fontId="5" fillId="0" borderId="0" applyAlignment="1" pivotButton="0" quotePrefix="0" xfId="1">
      <alignment vertical="top"/>
    </xf>
    <xf numFmtId="164" fontId="9" fillId="0" borderId="0" applyAlignment="1" pivotButton="0" quotePrefix="0" xfId="1">
      <alignment vertical="top"/>
    </xf>
    <xf numFmtId="0" fontId="5" fillId="0" borderId="0" applyAlignment="1" pivotButton="0" quotePrefix="0" xfId="0">
      <alignment horizontal="left"/>
    </xf>
    <xf numFmtId="164" fontId="6" fillId="0" borderId="0" pivotButton="0" quotePrefix="0" xfId="0"/>
    <xf numFmtId="0" fontId="6" fillId="0" borderId="1" applyAlignment="1" pivotButton="0" quotePrefix="0" xfId="0">
      <alignment horizontal="center"/>
    </xf>
    <xf numFmtId="0" fontId="6" fillId="0" borderId="0" pivotButton="0" quotePrefix="0" xfId="0"/>
    <xf numFmtId="43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14" fontId="6" fillId="2" borderId="1" applyAlignment="1" pivotButton="0" quotePrefix="0" xfId="0">
      <alignment horizontal="center" vertical="top"/>
    </xf>
    <xf numFmtId="165" fontId="6" fillId="2" borderId="1" applyAlignment="1" pivotButton="0" quotePrefix="0" xfId="1">
      <alignment horizontal="left" vertical="top"/>
    </xf>
    <xf numFmtId="164" fontId="6" fillId="2" borderId="0" applyAlignment="1" pivotButton="0" quotePrefix="0" xfId="1">
      <alignment vertical="top"/>
    </xf>
    <xf numFmtId="0" fontId="6" fillId="2" borderId="0" applyAlignment="1" pivotButton="0" quotePrefix="0" xfId="0">
      <alignment horizontal="left"/>
    </xf>
    <xf numFmtId="164" fontId="5" fillId="2" borderId="0" applyAlignment="1" pivotButton="0" quotePrefix="0" xfId="1">
      <alignment vertical="top"/>
    </xf>
    <xf numFmtId="0" fontId="9" fillId="0" borderId="0" applyAlignment="1" pivotButton="0" quotePrefix="0" xfId="4">
      <alignment vertical="top"/>
    </xf>
    <xf numFmtId="164" fontId="6" fillId="0" borderId="0" applyAlignment="1" pivotButton="0" quotePrefix="0" xfId="0">
      <alignment vertical="top"/>
    </xf>
    <xf numFmtId="164" fontId="5" fillId="2" borderId="0" applyAlignment="1" pivotButton="0" quotePrefix="0" xfId="1">
      <alignment vertical="top"/>
    </xf>
    <xf numFmtId="164" fontId="6" fillId="0" borderId="0" applyAlignment="1" pivotButton="0" quotePrefix="0" xfId="1">
      <alignment vertical="top"/>
    </xf>
    <xf numFmtId="0" fontId="9" fillId="3" borderId="0" applyAlignment="1" pivotButton="0" quotePrefix="0" xfId="4">
      <alignment vertical="top"/>
    </xf>
    <xf numFmtId="164" fontId="6" fillId="3" borderId="0" applyAlignment="1" pivotButton="0" quotePrefix="0" xfId="1">
      <alignment vertical="top"/>
    </xf>
    <xf numFmtId="0" fontId="12" fillId="3" borderId="0" applyAlignment="1" pivotButton="0" quotePrefix="0" xfId="4">
      <alignment vertical="top"/>
    </xf>
    <xf numFmtId="164" fontId="12" fillId="3" borderId="0" applyAlignment="1" pivotButton="0" quotePrefix="0" xfId="1">
      <alignment vertical="top"/>
    </xf>
    <xf numFmtId="0" fontId="13" fillId="3" borderId="0" applyAlignment="1" pivotButton="0" quotePrefix="0" xfId="4">
      <alignment vertical="top"/>
    </xf>
    <xf numFmtId="164" fontId="14" fillId="3" borderId="0" applyAlignment="1" pivotButton="0" quotePrefix="0" xfId="1">
      <alignment vertical="top"/>
    </xf>
    <xf numFmtId="0" fontId="14" fillId="3" borderId="0" applyAlignment="1" pivotButton="0" quotePrefix="0" xfId="0">
      <alignment vertical="top"/>
    </xf>
    <xf numFmtId="164" fontId="5" fillId="2" borderId="1" applyAlignment="1" pivotButton="0" quotePrefix="0" xfId="1">
      <alignment horizontal="center" vertical="top"/>
    </xf>
    <xf numFmtId="164" fontId="5" fillId="2" borderId="1" applyAlignment="1" pivotButton="0" quotePrefix="0" xfId="1">
      <alignment horizontal="center"/>
    </xf>
    <xf numFmtId="0" fontId="5" fillId="0" borderId="0" applyAlignment="1" pivotButton="0" quotePrefix="0" xfId="0">
      <alignment vertical="top"/>
    </xf>
    <xf numFmtId="164" fontId="9" fillId="2" borderId="0" applyAlignment="1" pivotButton="0" quotePrefix="0" xfId="1">
      <alignment vertical="top"/>
    </xf>
    <xf numFmtId="164" fontId="5" fillId="2" borderId="1" applyAlignment="1" pivotButton="0" quotePrefix="0" xfId="5">
      <alignment horizontal="left"/>
    </xf>
    <xf numFmtId="0" fontId="5" fillId="0" borderId="0" applyAlignment="1" pivotButton="0" quotePrefix="0" xfId="4">
      <alignment vertical="top"/>
    </xf>
    <xf numFmtId="165" fontId="6" fillId="2" borderId="0" applyAlignment="1" pivotButton="0" quotePrefix="0" xfId="1">
      <alignment horizontal="left" vertical="top"/>
    </xf>
    <xf numFmtId="14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vertical="top"/>
    </xf>
    <xf numFmtId="164" fontId="7" fillId="0" borderId="1" applyAlignment="1" pivotButton="0" quotePrefix="0" xfId="1">
      <alignment horizontal="center"/>
    </xf>
    <xf numFmtId="164" fontId="6" fillId="0" borderId="1" applyAlignment="1" pivotButton="0" quotePrefix="0" xfId="1">
      <alignment horizontal="center" vertical="top"/>
    </xf>
    <xf numFmtId="164" fontId="7" fillId="0" borderId="1" applyAlignment="1" pivotButton="0" quotePrefix="0" xfId="5">
      <alignment horizontal="left"/>
    </xf>
    <xf numFmtId="0" fontId="6" fillId="0" borderId="0" applyAlignment="1" pivotButton="0" quotePrefix="0" xfId="0">
      <alignment horizontal="left"/>
    </xf>
    <xf numFmtId="164" fontId="5" fillId="0" borderId="1" applyAlignment="1" pivotButton="0" quotePrefix="0" xfId="1">
      <alignment horizontal="center"/>
    </xf>
    <xf numFmtId="167" fontId="5" fillId="0" borderId="0" applyAlignment="1" pivotButton="0" quotePrefix="0" xfId="1">
      <alignment vertical="top"/>
    </xf>
    <xf numFmtId="164" fontId="6" fillId="2" borderId="4" applyAlignment="1" pivotButton="0" quotePrefix="0" xfId="1">
      <alignment vertical="top"/>
    </xf>
    <xf numFmtId="164" fontId="5" fillId="2" borderId="4" applyAlignment="1" pivotButton="0" quotePrefix="0" xfId="1">
      <alignment horizontal="center" vertical="top"/>
    </xf>
    <xf numFmtId="164" fontId="6" fillId="0" borderId="0" applyAlignment="1" pivotButton="0" quotePrefix="0" xfId="1">
      <alignment horizontal="center" vertical="top"/>
    </xf>
    <xf numFmtId="164" fontId="6" fillId="0" borderId="4" applyAlignment="1" pivotButton="0" quotePrefix="0" xfId="1">
      <alignment horizontal="center" vertical="top"/>
    </xf>
    <xf numFmtId="0" fontId="13" fillId="0" borderId="0" applyAlignment="1" pivotButton="0" quotePrefix="0" xfId="4">
      <alignment vertical="top"/>
    </xf>
    <xf numFmtId="165" fontId="6" fillId="0" borderId="1" applyAlignment="1" pivotButton="0" quotePrefix="0" xfId="1">
      <alignment horizontal="left" vertical="top"/>
    </xf>
    <xf numFmtId="164" fontId="6" fillId="0" borderId="0" applyAlignment="1" pivotButton="0" quotePrefix="0" xfId="1">
      <alignment vertical="top"/>
    </xf>
    <xf numFmtId="164" fontId="9" fillId="4" borderId="0" applyAlignment="1" pivotButton="0" quotePrefix="0" xfId="1">
      <alignment horizontal="center" vertical="top"/>
    </xf>
    <xf numFmtId="164" fontId="9" fillId="0" borderId="0" applyAlignment="1" pivotButton="0" quotePrefix="0" xfId="1">
      <alignment horizontal="center" vertical="top"/>
    </xf>
    <xf numFmtId="0" fontId="6" fillId="2" borderId="1" applyAlignment="1" pivotButton="0" quotePrefix="0" xfId="0">
      <alignment horizontal="center" vertical="top"/>
    </xf>
    <xf numFmtId="0" fontId="5" fillId="2" borderId="1" applyAlignment="1" pivotButton="0" quotePrefix="0" xfId="0">
      <alignment horizontal="left" vertical="top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horizontal="center" vertical="top"/>
    </xf>
    <xf numFmtId="165" fontId="5" fillId="2" borderId="1" applyAlignment="1" pivotButton="0" quotePrefix="0" xfId="1">
      <alignment horizontal="left" vertical="top"/>
    </xf>
    <xf numFmtId="0" fontId="5" fillId="2" borderId="0" applyAlignment="1" pivotButton="0" quotePrefix="0" xfId="0">
      <alignment horizontal="left"/>
    </xf>
    <xf numFmtId="167" fontId="6" fillId="2" borderId="0" applyAlignment="1" pivotButton="0" quotePrefix="0" xfId="1">
      <alignment vertical="top"/>
    </xf>
    <xf numFmtId="164" fontId="6" fillId="2" borderId="0" pivotButton="0" quotePrefix="0" xfId="1"/>
    <xf numFmtId="0" fontId="6" fillId="0" borderId="3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top"/>
    </xf>
    <xf numFmtId="14" fontId="6" fillId="0" borderId="5" applyAlignment="1" pivotButton="0" quotePrefix="0" xfId="0">
      <alignment horizontal="center" vertical="top"/>
    </xf>
    <xf numFmtId="0" fontId="6" fillId="0" borderId="0" applyAlignment="1" pivotButton="0" quotePrefix="0" xfId="0">
      <alignment horizontal="left" vertical="top"/>
    </xf>
    <xf numFmtId="164" fontId="6" fillId="0" borderId="0" applyAlignment="1" pivotButton="0" quotePrefix="0" xfId="1">
      <alignment horizontal="center" vertical="top"/>
    </xf>
    <xf numFmtId="165" fontId="6" fillId="0" borderId="0" applyAlignment="1" pivotButton="0" quotePrefix="0" xfId="1">
      <alignment horizontal="left" vertical="top"/>
    </xf>
    <xf numFmtId="164" fontId="6" fillId="0" borderId="6" applyAlignment="1" pivotButton="0" quotePrefix="0" xfId="1">
      <alignment vertical="top"/>
    </xf>
    <xf numFmtId="164" fontId="4" fillId="0" borderId="6" applyAlignment="1" pivotButton="0" quotePrefix="0" xfId="1">
      <alignment vertical="top"/>
    </xf>
    <xf numFmtId="0" fontId="15" fillId="0" borderId="6" applyAlignment="1" pivotButton="0" quotePrefix="0" xfId="0">
      <alignment horizontal="left" vertical="top"/>
    </xf>
    <xf numFmtId="164" fontId="15" fillId="0" borderId="6" applyAlignment="1" pivotButton="0" quotePrefix="0" xfId="1">
      <alignment vertical="top"/>
    </xf>
    <xf numFmtId="0" fontId="7" fillId="0" borderId="0" applyAlignment="1" pivotButton="0" quotePrefix="0" xfId="7">
      <alignment horizontal="center"/>
    </xf>
    <xf numFmtId="14" fontId="6" fillId="0" borderId="0" applyAlignment="1" pivotButton="0" quotePrefix="0" xfId="0">
      <alignment horizontal="center" vertical="top"/>
    </xf>
    <xf numFmtId="164" fontId="14" fillId="0" borderId="0" pivotButton="0" quotePrefix="0" xfId="1"/>
    <xf numFmtId="164" fontId="12" fillId="5" borderId="0" applyAlignment="1" pivotButton="0" quotePrefix="0" xfId="1">
      <alignment vertical="top"/>
    </xf>
    <xf numFmtId="0" fontId="12" fillId="5" borderId="0" applyAlignment="1" pivotButton="0" quotePrefix="0" xfId="0">
      <alignment horizontal="left" vertical="top"/>
    </xf>
    <xf numFmtId="0" fontId="6" fillId="0" borderId="4" applyAlignment="1" pivotButton="0" quotePrefix="0" xfId="0">
      <alignment horizontal="center" vertical="top"/>
    </xf>
    <xf numFmtId="164" fontId="14" fillId="0" borderId="0" applyAlignment="1" pivotButton="0" quotePrefix="0" xfId="1">
      <alignment vertical="top"/>
    </xf>
    <xf numFmtId="164" fontId="13" fillId="5" borderId="0" applyAlignment="1" pivotButton="0" quotePrefix="0" xfId="1">
      <alignment vertical="top"/>
    </xf>
    <xf numFmtId="0" fontId="14" fillId="5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center"/>
    </xf>
    <xf numFmtId="164" fontId="9" fillId="0" borderId="0" applyAlignment="1" pivotButton="0" quotePrefix="0" xfId="1">
      <alignment vertical="top"/>
    </xf>
    <xf numFmtId="164" fontId="16" fillId="0" borderId="0" pivotButton="0" quotePrefix="0" xfId="1"/>
    <xf numFmtId="4" fontId="6" fillId="0" borderId="0" pivotButton="0" quotePrefix="0" xfId="0"/>
    <xf numFmtId="164" fontId="9" fillId="6" borderId="0" applyAlignment="1" pivotButton="0" quotePrefix="0" xfId="1">
      <alignment vertical="top"/>
    </xf>
    <xf numFmtId="4" fontId="6" fillId="0" borderId="0" applyAlignment="1" pivotButton="0" quotePrefix="0" xfId="0">
      <alignment vertical="top"/>
    </xf>
    <xf numFmtId="0" fontId="17" fillId="7" borderId="0" applyAlignment="1" pivotButton="0" quotePrefix="0" xfId="6">
      <alignment horizontal="center"/>
    </xf>
    <xf numFmtId="0" fontId="18" fillId="7" borderId="0" pivotButton="0" quotePrefix="0" xfId="0"/>
    <xf numFmtId="168" fontId="17" fillId="0" borderId="0" applyAlignment="1" pivotButton="0" quotePrefix="0" xfId="0">
      <alignment horizontal="center"/>
    </xf>
    <xf numFmtId="0" fontId="17" fillId="0" borderId="0" applyAlignment="1" pivotButton="0" quotePrefix="0" xfId="6">
      <alignment horizontal="right"/>
    </xf>
    <xf numFmtId="0" fontId="17" fillId="8" borderId="7" applyAlignment="1" pivotButton="0" quotePrefix="0" xfId="6">
      <alignment horizontal="center"/>
    </xf>
    <xf numFmtId="0" fontId="17" fillId="8" borderId="8" applyAlignment="1" pivotButton="0" quotePrefix="0" xfId="6">
      <alignment horizontal="center"/>
    </xf>
    <xf numFmtId="0" fontId="17" fillId="8" borderId="9" applyAlignment="1" pivotButton="0" quotePrefix="0" xfId="6">
      <alignment horizontal="center"/>
    </xf>
    <xf numFmtId="0" fontId="17" fillId="8" borderId="10" applyAlignment="1" pivotButton="0" quotePrefix="0" xfId="6">
      <alignment horizontal="center"/>
    </xf>
    <xf numFmtId="0" fontId="17" fillId="8" borderId="11" applyAlignment="1" pivotButton="0" quotePrefix="0" xfId="6">
      <alignment horizontal="center"/>
    </xf>
    <xf numFmtId="0" fontId="17" fillId="8" borderId="12" applyAlignment="1" pivotButton="0" quotePrefix="0" xfId="6">
      <alignment horizontal="center"/>
    </xf>
    <xf numFmtId="0" fontId="17" fillId="8" borderId="13" applyAlignment="1" pivotButton="0" quotePrefix="0" xfId="6">
      <alignment horizontal="center"/>
    </xf>
    <xf numFmtId="49" fontId="11" fillId="0" borderId="14" applyAlignment="1" pivotButton="0" quotePrefix="0" xfId="6">
      <alignment horizontal="center"/>
    </xf>
    <xf numFmtId="169" fontId="11" fillId="0" borderId="14" pivotButton="0" quotePrefix="0" xfId="6"/>
    <xf numFmtId="169" fontId="11" fillId="0" borderId="2" pivotButton="0" quotePrefix="0" xfId="6"/>
    <xf numFmtId="49" fontId="11" fillId="0" borderId="2" applyAlignment="1" pivotButton="0" quotePrefix="0" xfId="8">
      <alignment horizontal="center"/>
    </xf>
    <xf numFmtId="169" fontId="11" fillId="0" borderId="2" pivotButton="0" quotePrefix="0" xfId="8"/>
    <xf numFmtId="49" fontId="11" fillId="0" borderId="2" applyAlignment="1" pivotButton="0" quotePrefix="0" xfId="0">
      <alignment horizontal="center"/>
    </xf>
    <xf numFmtId="169" fontId="11" fillId="0" borderId="2" pivotButton="0" quotePrefix="0" xfId="0"/>
    <xf numFmtId="169" fontId="11" fillId="0" borderId="2" pivotButton="0" quotePrefix="0" xfId="9"/>
    <xf numFmtId="49" fontId="11" fillId="0" borderId="2" applyAlignment="1" pivotButton="0" quotePrefix="0" xfId="10">
      <alignment horizontal="center"/>
    </xf>
    <xf numFmtId="164" fontId="18" fillId="7" borderId="0" pivotButton="0" quotePrefix="0" xfId="1"/>
    <xf numFmtId="169" fontId="11" fillId="0" borderId="15" pivotButton="0" quotePrefix="0" xfId="9"/>
    <xf numFmtId="49" fontId="11" fillId="0" borderId="16" applyAlignment="1" pivotButton="0" quotePrefix="0" xfId="10">
      <alignment horizontal="center"/>
    </xf>
    <xf numFmtId="169" fontId="11" fillId="0" borderId="1" pivotButton="0" quotePrefix="0" xfId="6"/>
    <xf numFmtId="49" fontId="11" fillId="3" borderId="16" applyAlignment="1" pivotButton="0" quotePrefix="0" xfId="10">
      <alignment horizontal="center"/>
    </xf>
    <xf numFmtId="169" fontId="11" fillId="3" borderId="1" applyAlignment="1" pivotButton="0" quotePrefix="0" xfId="0">
      <alignment horizontal="right" vertical="top" wrapText="1"/>
    </xf>
    <xf numFmtId="169" fontId="11" fillId="3" borderId="17" applyAlignment="1" pivotButton="0" quotePrefix="0" xfId="0">
      <alignment horizontal="right" vertical="top" wrapText="1"/>
    </xf>
    <xf numFmtId="169" fontId="11" fillId="3" borderId="18" applyAlignment="1" pivotButton="0" quotePrefix="0" xfId="0">
      <alignment horizontal="right" vertical="top" wrapText="1"/>
    </xf>
    <xf numFmtId="169" fontId="11" fillId="3" borderId="19" applyAlignment="1" pivotButton="0" quotePrefix="0" xfId="0">
      <alignment horizontal="right" vertical="top" wrapText="1"/>
    </xf>
    <xf numFmtId="49" fontId="11" fillId="3" borderId="2" applyAlignment="1" pivotButton="0" quotePrefix="0" xfId="10">
      <alignment horizontal="center"/>
    </xf>
    <xf numFmtId="169" fontId="11" fillId="3" borderId="20" applyAlignment="1" pivotButton="0" quotePrefix="0" xfId="0">
      <alignment horizontal="right" vertical="top" wrapText="1"/>
    </xf>
    <xf numFmtId="169" fontId="11" fillId="3" borderId="14" pivotButton="0" quotePrefix="0" xfId="10"/>
    <xf numFmtId="169" fontId="11" fillId="3" borderId="2" pivotButton="0" quotePrefix="0" xfId="10"/>
    <xf numFmtId="0" fontId="11" fillId="3" borderId="2" pivotButton="0" quotePrefix="0" xfId="10"/>
    <xf numFmtId="49" fontId="11" fillId="3" borderId="2" applyAlignment="1" pivotButton="0" quotePrefix="0" xfId="0">
      <alignment horizontal="center"/>
    </xf>
    <xf numFmtId="169" fontId="11" fillId="3" borderId="2" pivotButton="0" quotePrefix="0" xfId="0"/>
    <xf numFmtId="49" fontId="11" fillId="3" borderId="2" applyAlignment="1" pivotButton="0" quotePrefix="0" xfId="11">
      <alignment horizontal="center"/>
    </xf>
    <xf numFmtId="169" fontId="11" fillId="3" borderId="2" pivotButton="0" quotePrefix="0" xfId="11"/>
    <xf numFmtId="169" fontId="11" fillId="3" borderId="2" pivotButton="0" quotePrefix="0" xfId="12"/>
    <xf numFmtId="49" fontId="11" fillId="3" borderId="2" applyAlignment="1" pivotButton="0" quotePrefix="0" xfId="12">
      <alignment horizontal="center"/>
    </xf>
    <xf numFmtId="49" fontId="11" fillId="3" borderId="2" applyAlignment="1" pivotButton="0" quotePrefix="0" xfId="13">
      <alignment horizontal="center"/>
    </xf>
    <xf numFmtId="169" fontId="11" fillId="3" borderId="2" pivotButton="0" quotePrefix="0" xfId="13"/>
    <xf numFmtId="49" fontId="11" fillId="3" borderId="2" applyAlignment="1" pivotButton="0" quotePrefix="0" xfId="14">
      <alignment horizontal="center"/>
    </xf>
    <xf numFmtId="169" fontId="11" fillId="3" borderId="2" pivotButton="0" quotePrefix="0" xfId="14"/>
    <xf numFmtId="49" fontId="11" fillId="3" borderId="15" applyAlignment="1" pivotButton="0" quotePrefix="0" xfId="14">
      <alignment horizontal="center"/>
    </xf>
    <xf numFmtId="169" fontId="11" fillId="3" borderId="15" pivotButton="0" quotePrefix="0" xfId="14"/>
    <xf numFmtId="0" fontId="18" fillId="7" borderId="1" pivotButton="0" quotePrefix="0" xfId="0"/>
    <xf numFmtId="0" fontId="18" fillId="7" borderId="3" pivotButton="0" quotePrefix="0" xfId="0"/>
    <xf numFmtId="49" fontId="11" fillId="3" borderId="1" applyAlignment="1" pivotButton="0" quotePrefix="0" xfId="14">
      <alignment horizontal="center"/>
    </xf>
    <xf numFmtId="0" fontId="17" fillId="8" borderId="15" applyAlignment="1" pivotButton="0" quotePrefix="0" xfId="6">
      <alignment horizontal="center"/>
    </xf>
    <xf numFmtId="0" fontId="17" fillId="8" borderId="16" applyAlignment="1" pivotButton="0" quotePrefix="0" xfId="6">
      <alignment horizontal="center"/>
    </xf>
    <xf numFmtId="0" fontId="17" fillId="8" borderId="21" applyAlignment="1" pivotButton="0" quotePrefix="0" xfId="6">
      <alignment horizontal="center"/>
    </xf>
    <xf numFmtId="0" fontId="17" fillId="8" borderId="14" applyAlignment="1" pivotButton="0" quotePrefix="0" xfId="6">
      <alignment horizontal="center"/>
    </xf>
    <xf numFmtId="0" fontId="17" fillId="8" borderId="2" applyAlignment="1" pivotButton="0" quotePrefix="0" xfId="6">
      <alignment horizontal="center"/>
    </xf>
    <xf numFmtId="169" fontId="11" fillId="0" borderId="15" pivotButton="0" quotePrefix="0" xfId="6"/>
    <xf numFmtId="169" fontId="11" fillId="3" borderId="22" applyAlignment="1" pivotButton="0" quotePrefix="0" xfId="0">
      <alignment horizontal="right" vertical="top" wrapText="1"/>
    </xf>
    <xf numFmtId="49" fontId="11" fillId="3" borderId="15" applyAlignment="1" pivotButton="0" quotePrefix="0" xfId="0">
      <alignment horizontal="center"/>
    </xf>
    <xf numFmtId="169" fontId="11" fillId="3" borderId="15" pivotButton="0" quotePrefix="0" xfId="0"/>
    <xf numFmtId="15" fontId="18" fillId="7" borderId="1" applyAlignment="1" pivotButton="0" quotePrefix="0" xfId="0">
      <alignment horizontal="center"/>
    </xf>
    <xf numFmtId="49" fontId="11" fillId="3" borderId="1" applyAlignment="1" pivotButton="0" quotePrefix="0" xfId="0">
      <alignment horizontal="center"/>
    </xf>
    <xf numFmtId="169" fontId="11" fillId="3" borderId="1" pivotButton="0" quotePrefix="0" xfId="0"/>
    <xf numFmtId="49" fontId="11" fillId="3" borderId="14" applyAlignment="1" pivotButton="0" quotePrefix="0" xfId="0">
      <alignment horizontal="center"/>
    </xf>
    <xf numFmtId="169" fontId="11" fillId="3" borderId="14" pivotButton="0" quotePrefix="0" xfId="0"/>
    <xf numFmtId="49" fontId="11" fillId="0" borderId="0" applyAlignment="1" pivotButton="0" quotePrefix="0" xfId="6">
      <alignment horizontal="center"/>
    </xf>
    <xf numFmtId="164" fontId="6" fillId="0" borderId="0" applyAlignment="1" pivotButton="0" quotePrefix="0" xfId="1">
      <alignment horizontal="center" vertical="top"/>
    </xf>
    <xf numFmtId="165" fontId="6" fillId="0" borderId="0" applyAlignment="1" pivotButton="0" quotePrefix="0" xfId="1">
      <alignment horizontal="left" vertical="top"/>
    </xf>
    <xf numFmtId="164" fontId="6" fillId="0" borderId="0" applyAlignment="1" pivotButton="0" quotePrefix="0" xfId="1">
      <alignment vertical="top"/>
    </xf>
    <xf numFmtId="164" fontId="9" fillId="0" borderId="0" applyAlignment="1" pivotButton="0" quotePrefix="0" xfId="1">
      <alignment vertical="top"/>
    </xf>
    <xf numFmtId="164" fontId="6" fillId="0" borderId="0" applyAlignment="1" pivotButton="0" quotePrefix="0" xfId="0">
      <alignment vertical="top"/>
    </xf>
    <xf numFmtId="164" fontId="2" fillId="0" borderId="0" applyAlignment="1" pivotButton="0" quotePrefix="0" xfId="1">
      <alignment horizontal="center"/>
    </xf>
    <xf numFmtId="165" fontId="2" fillId="0" borderId="0" applyAlignment="1" pivotButton="0" quotePrefix="0" xfId="1">
      <alignment horizontal="left"/>
    </xf>
    <xf numFmtId="164" fontId="4" fillId="0" borderId="0" applyAlignment="1" pivotButton="0" quotePrefix="0" xfId="1">
      <alignment horizontal="center"/>
    </xf>
    <xf numFmtId="164" fontId="2" fillId="0" borderId="0" applyAlignment="1" pivotButton="0" quotePrefix="0" xfId="0">
      <alignment horizontal="center"/>
    </xf>
    <xf numFmtId="166" fontId="2" fillId="0" borderId="0" applyAlignment="1" pivotButton="0" quotePrefix="0" xfId="4">
      <alignment horizontal="center"/>
    </xf>
    <xf numFmtId="164" fontId="5" fillId="0" borderId="0" applyAlignment="1" pivotButton="0" quotePrefix="0" xfId="1">
      <alignment horizontal="center"/>
    </xf>
    <xf numFmtId="164" fontId="6" fillId="2" borderId="1" applyAlignment="1" pivotButton="0" quotePrefix="0" xfId="1">
      <alignment horizontal="center" vertical="top"/>
    </xf>
    <xf numFmtId="164" fontId="7" fillId="2" borderId="1" applyAlignment="1" pivotButton="0" quotePrefix="0" xfId="1">
      <alignment horizontal="center"/>
    </xf>
    <xf numFmtId="164" fontId="7" fillId="2" borderId="1" applyAlignment="1" pivotButton="0" quotePrefix="0" xfId="5">
      <alignment horizontal="left"/>
    </xf>
    <xf numFmtId="164" fontId="6" fillId="2" borderId="0" applyAlignment="1" pivotButton="0" quotePrefix="0" xfId="1">
      <alignment vertical="top"/>
    </xf>
    <xf numFmtId="164" fontId="5" fillId="2" borderId="0" applyAlignment="1" pivotButton="0" quotePrefix="0" xfId="1">
      <alignment vertical="top"/>
    </xf>
    <xf numFmtId="164" fontId="9" fillId="2" borderId="0" applyAlignment="1" pivotButton="0" quotePrefix="0" xfId="1">
      <alignment vertical="top"/>
    </xf>
    <xf numFmtId="164" fontId="6" fillId="0" borderId="0" pivotButton="0" quotePrefix="0" xfId="1"/>
    <xf numFmtId="164" fontId="5" fillId="0" borderId="1" applyAlignment="1" pivotButton="0" quotePrefix="0" xfId="1">
      <alignment horizontal="center" vertical="top"/>
    </xf>
    <xf numFmtId="165" fontId="5" fillId="0" borderId="1" applyAlignment="1" pivotButton="0" quotePrefix="0" xfId="1">
      <alignment horizontal="left" vertical="top"/>
    </xf>
    <xf numFmtId="164" fontId="5" fillId="0" borderId="0" applyAlignment="1" pivotButton="0" quotePrefix="0" xfId="1">
      <alignment vertical="top"/>
    </xf>
    <xf numFmtId="164" fontId="6" fillId="0" borderId="0" pivotButton="0" quotePrefix="0" xfId="0"/>
    <xf numFmtId="43" fontId="6" fillId="0" borderId="0" applyAlignment="1" pivotButton="0" quotePrefix="0" xfId="0">
      <alignment vertical="top"/>
    </xf>
    <xf numFmtId="165" fontId="6" fillId="2" borderId="1" applyAlignment="1" pivotButton="0" quotePrefix="0" xfId="1">
      <alignment horizontal="left" vertical="top"/>
    </xf>
    <xf numFmtId="164" fontId="6" fillId="3" borderId="0" applyAlignment="1" pivotButton="0" quotePrefix="0" xfId="1">
      <alignment vertical="top"/>
    </xf>
    <xf numFmtId="164" fontId="12" fillId="3" borderId="0" applyAlignment="1" pivotButton="0" quotePrefix="0" xfId="1">
      <alignment vertical="top"/>
    </xf>
    <xf numFmtId="164" fontId="14" fillId="3" borderId="0" applyAlignment="1" pivotButton="0" quotePrefix="0" xfId="1">
      <alignment vertical="top"/>
    </xf>
    <xf numFmtId="164" fontId="5" fillId="2" borderId="1" applyAlignment="1" pivotButton="0" quotePrefix="0" xfId="1">
      <alignment horizontal="center" vertical="top"/>
    </xf>
    <xf numFmtId="164" fontId="5" fillId="2" borderId="1" applyAlignment="1" pivotButton="0" quotePrefix="0" xfId="1">
      <alignment horizontal="center"/>
    </xf>
    <xf numFmtId="164" fontId="5" fillId="2" borderId="1" applyAlignment="1" pivotButton="0" quotePrefix="0" xfId="5">
      <alignment horizontal="left"/>
    </xf>
    <xf numFmtId="165" fontId="6" fillId="2" borderId="0" applyAlignment="1" pivotButton="0" quotePrefix="0" xfId="1">
      <alignment horizontal="left" vertical="top"/>
    </xf>
    <xf numFmtId="164" fontId="7" fillId="0" borderId="1" applyAlignment="1" pivotButton="0" quotePrefix="0" xfId="1">
      <alignment horizontal="center"/>
    </xf>
    <xf numFmtId="164" fontId="6" fillId="0" borderId="1" applyAlignment="1" pivotButton="0" quotePrefix="0" xfId="1">
      <alignment horizontal="center" vertical="top"/>
    </xf>
    <xf numFmtId="164" fontId="7" fillId="0" borderId="1" applyAlignment="1" pivotButton="0" quotePrefix="0" xfId="5">
      <alignment horizontal="left"/>
    </xf>
    <xf numFmtId="164" fontId="5" fillId="0" borderId="1" applyAlignment="1" pivotButton="0" quotePrefix="0" xfId="1">
      <alignment horizontal="center"/>
    </xf>
    <xf numFmtId="164" fontId="6" fillId="2" borderId="4" applyAlignment="1" pivotButton="0" quotePrefix="0" xfId="1">
      <alignment vertical="top"/>
    </xf>
    <xf numFmtId="164" fontId="5" fillId="2" borderId="4" applyAlignment="1" pivotButton="0" quotePrefix="0" xfId="1">
      <alignment horizontal="center" vertical="top"/>
    </xf>
    <xf numFmtId="164" fontId="6" fillId="0" borderId="4" applyAlignment="1" pivotButton="0" quotePrefix="0" xfId="1">
      <alignment horizontal="center" vertical="top"/>
    </xf>
    <xf numFmtId="165" fontId="6" fillId="0" borderId="1" applyAlignment="1" pivotButton="0" quotePrefix="0" xfId="1">
      <alignment horizontal="left" vertical="top"/>
    </xf>
    <xf numFmtId="164" fontId="9" fillId="4" borderId="0" applyAlignment="1" pivotButton="0" quotePrefix="0" xfId="1">
      <alignment horizontal="center" vertical="top"/>
    </xf>
    <xf numFmtId="164" fontId="9" fillId="0" borderId="0" applyAlignment="1" pivotButton="0" quotePrefix="0" xfId="1">
      <alignment horizontal="center" vertical="top"/>
    </xf>
    <xf numFmtId="165" fontId="5" fillId="2" borderId="1" applyAlignment="1" pivotButton="0" quotePrefix="0" xfId="1">
      <alignment horizontal="left" vertical="top"/>
    </xf>
    <xf numFmtId="164" fontId="6" fillId="2" borderId="0" pivotButton="0" quotePrefix="0" xfId="1"/>
    <xf numFmtId="0" fontId="0" fillId="0" borderId="0" pivotButton="0" quotePrefix="0" xfId="0"/>
    <xf numFmtId="164" fontId="6" fillId="0" borderId="6" applyAlignment="1" pivotButton="0" quotePrefix="0" xfId="1">
      <alignment vertical="top"/>
    </xf>
    <xf numFmtId="164" fontId="4" fillId="0" borderId="6" applyAlignment="1" pivotButton="0" quotePrefix="0" xfId="1">
      <alignment vertical="top"/>
    </xf>
    <xf numFmtId="164" fontId="15" fillId="0" borderId="6" applyAlignment="1" pivotButton="0" quotePrefix="0" xfId="1">
      <alignment vertical="top"/>
    </xf>
    <xf numFmtId="164" fontId="14" fillId="0" borderId="0" pivotButton="0" quotePrefix="0" xfId="1"/>
    <xf numFmtId="164" fontId="12" fillId="5" borderId="0" applyAlignment="1" pivotButton="0" quotePrefix="0" xfId="1">
      <alignment vertical="top"/>
    </xf>
    <xf numFmtId="164" fontId="14" fillId="0" borderId="0" applyAlignment="1" pivotButton="0" quotePrefix="0" xfId="1">
      <alignment vertical="top"/>
    </xf>
    <xf numFmtId="164" fontId="13" fillId="5" borderId="0" applyAlignment="1" pivotButton="0" quotePrefix="0" xfId="1">
      <alignment vertical="top"/>
    </xf>
    <xf numFmtId="164" fontId="16" fillId="0" borderId="0" pivotButton="0" quotePrefix="0" xfId="1"/>
    <xf numFmtId="164" fontId="9" fillId="6" borderId="0" applyAlignment="1" pivotButton="0" quotePrefix="0" xfId="1">
      <alignment vertical="top"/>
    </xf>
    <xf numFmtId="0" fontId="17" fillId="8" borderId="23" applyAlignment="1" pivotButton="0" quotePrefix="0" xfId="6">
      <alignment horizontal="center"/>
    </xf>
    <xf numFmtId="0" fontId="17" fillId="8" borderId="25" applyAlignment="1" pivotButton="0" quotePrefix="0" xfId="6">
      <alignment horizontal="center"/>
    </xf>
    <xf numFmtId="0" fontId="0" fillId="0" borderId="9" pivotButton="0" quotePrefix="0" xfId="0"/>
    <xf numFmtId="0" fontId="17" fillId="8" borderId="27" applyAlignment="1" pivotButton="0" quotePrefix="0" xfId="6">
      <alignment horizontal="center"/>
    </xf>
    <xf numFmtId="0" fontId="0" fillId="0" borderId="11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14" pivotButton="0" quotePrefix="0" xfId="0"/>
  </cellXfs>
  <cellStyles count="15">
    <cellStyle name="Normal" xfId="0" builtinId="0"/>
    <cellStyle name="Comma" xfId="1" builtinId="3"/>
    <cellStyle name="Normal 2 3" xfId="2"/>
    <cellStyle name="Normal 3 2" xfId="3"/>
    <cellStyle name="Normal 4 2 2" xfId="4"/>
    <cellStyle name="Comma 6" xfId="5"/>
    <cellStyle name="Normal 10" xfId="6"/>
    <cellStyle name="Normal 12" xfId="7"/>
    <cellStyle name="Normal 13" xfId="8"/>
    <cellStyle name="Normal 16" xfId="9"/>
    <cellStyle name="Normal 5" xfId="10"/>
    <cellStyle name="Normal 19" xfId="11"/>
    <cellStyle name="Normal 2 2" xfId="12"/>
    <cellStyle name="Normal 9" xfId="13"/>
    <cellStyle name="Normal 10 3" xfId="1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FF66"/>
    <outlinePr summaryBelow="1" summaryRight="1"/>
    <pageSetUpPr fitToPage="1"/>
  </sheetPr>
  <dimension ref="A1:HM174"/>
  <sheetViews>
    <sheetView topLeftCell="G1" zoomScaleNormal="100" workbookViewId="0">
      <pane ySplit="1" topLeftCell="A2" activePane="bottomLeft" state="frozen"/>
      <selection activeCell="J4" sqref="J4"/>
      <selection pane="bottomLeft" activeCell="T22" sqref="T22"/>
    </sheetView>
  </sheetViews>
  <sheetFormatPr baseColWidth="8" defaultColWidth="6.85546875" defaultRowHeight="20.25"/>
  <cols>
    <col width="5.7109375" customWidth="1" style="94" min="1" max="1"/>
    <col width="12.7109375" customWidth="1" style="104" min="2" max="2"/>
    <col width="10.7109375" customWidth="1" style="96" min="3" max="3"/>
    <col width="15.28515625" bestFit="1" customWidth="1" style="43" min="4" max="4"/>
    <col width="12.7109375" customWidth="1" style="94" min="5" max="5"/>
    <col width="11.7109375" customWidth="1" style="182" min="6" max="6"/>
    <col width="49.28515625" bestFit="1" customWidth="1" style="183" min="7" max="7"/>
    <col width="12.7109375" customWidth="1" style="184" min="8" max="9"/>
    <col width="13.5703125" bestFit="1" customWidth="1" style="184" min="10" max="11"/>
    <col width="17.7109375" bestFit="1" customWidth="1" style="185" min="12" max="12"/>
    <col width="12.7109375" customWidth="1" style="96" min="13" max="13"/>
    <col width="12.7109375" customWidth="1" style="186" min="14" max="14"/>
    <col width="12.7109375" customWidth="1" style="43" min="15" max="15"/>
    <col width="18.7109375" customWidth="1" style="94" min="16" max="16"/>
    <col width="12.7109375" customWidth="1" style="43" min="17" max="17"/>
    <col width="28.85546875" bestFit="1" customWidth="1" style="43" min="18" max="18"/>
    <col width="10.7109375" customWidth="1" style="43" min="19" max="19"/>
    <col width="34.5703125" bestFit="1" customWidth="1" style="43" min="20" max="20"/>
    <col width="12.42578125" bestFit="1" customWidth="1" style="184" min="21" max="21"/>
    <col width="13.140625" bestFit="1" customWidth="1" style="43" min="22" max="22"/>
    <col width="6.85546875" customWidth="1" style="43" min="23" max="23"/>
    <col width="12.85546875" bestFit="1" customWidth="1" style="43" min="24" max="24"/>
    <col width="6.85546875" customWidth="1" style="43" min="25" max="257"/>
    <col width="5.7109375" customWidth="1" style="43" min="258" max="258"/>
    <col width="12.7109375" customWidth="1" style="43" min="259" max="259"/>
    <col width="10.7109375" customWidth="1" style="43" min="260" max="260"/>
    <col width="15.28515625" bestFit="1" customWidth="1" style="43" min="261" max="261"/>
    <col width="12.7109375" customWidth="1" style="43" min="262" max="262"/>
    <col width="11.7109375" customWidth="1" style="43" min="263" max="263"/>
    <col width="49.28515625" bestFit="1" customWidth="1" style="43" min="264" max="264"/>
    <col width="12.7109375" customWidth="1" style="43" min="265" max="266"/>
    <col width="13.5703125" bestFit="1" customWidth="1" style="43" min="267" max="268"/>
    <col width="17.7109375" bestFit="1" customWidth="1" style="43" min="269" max="269"/>
    <col width="12.7109375" customWidth="1" style="43" min="270" max="272"/>
    <col width="18.7109375" customWidth="1" style="43" min="273" max="273"/>
    <col width="12.7109375" customWidth="1" style="43" min="274" max="274"/>
    <col width="10.7109375" customWidth="1" style="43" min="275" max="275"/>
    <col width="9.85546875" bestFit="1" customWidth="1" style="43" min="276" max="276"/>
    <col width="12.42578125" bestFit="1" customWidth="1" style="43" min="277" max="277"/>
    <col width="13.140625" bestFit="1" customWidth="1" style="43" min="278" max="278"/>
    <col width="6.85546875" customWidth="1" style="43" min="279" max="279"/>
    <col width="12.85546875" bestFit="1" customWidth="1" style="43" min="280" max="280"/>
    <col width="6.85546875" customWidth="1" style="43" min="281" max="513"/>
    <col width="5.7109375" customWidth="1" style="43" min="514" max="514"/>
    <col width="12.7109375" customWidth="1" style="43" min="515" max="515"/>
    <col width="10.7109375" customWidth="1" style="43" min="516" max="516"/>
    <col width="15.28515625" bestFit="1" customWidth="1" style="43" min="517" max="517"/>
    <col width="12.7109375" customWidth="1" style="43" min="518" max="518"/>
    <col width="11.7109375" customWidth="1" style="43" min="519" max="519"/>
    <col width="49.28515625" bestFit="1" customWidth="1" style="43" min="520" max="520"/>
    <col width="12.7109375" customWidth="1" style="43" min="521" max="522"/>
    <col width="13.5703125" bestFit="1" customWidth="1" style="43" min="523" max="524"/>
    <col width="17.7109375" bestFit="1" customWidth="1" style="43" min="525" max="525"/>
    <col width="12.7109375" customWidth="1" style="43" min="526" max="528"/>
    <col width="18.7109375" customWidth="1" style="43" min="529" max="529"/>
    <col width="12.7109375" customWidth="1" style="43" min="530" max="530"/>
    <col width="10.7109375" customWidth="1" style="43" min="531" max="531"/>
    <col width="9.85546875" bestFit="1" customWidth="1" style="43" min="532" max="532"/>
    <col width="12.42578125" bestFit="1" customWidth="1" style="43" min="533" max="533"/>
    <col width="13.140625" bestFit="1" customWidth="1" style="43" min="534" max="534"/>
    <col width="6.85546875" customWidth="1" style="43" min="535" max="535"/>
    <col width="12.85546875" bestFit="1" customWidth="1" style="43" min="536" max="536"/>
    <col width="6.85546875" customWidth="1" style="43" min="537" max="769"/>
    <col width="5.7109375" customWidth="1" style="43" min="770" max="770"/>
    <col width="12.7109375" customWidth="1" style="43" min="771" max="771"/>
    <col width="10.7109375" customWidth="1" style="43" min="772" max="772"/>
    <col width="15.28515625" bestFit="1" customWidth="1" style="43" min="773" max="773"/>
    <col width="12.7109375" customWidth="1" style="43" min="774" max="774"/>
    <col width="11.7109375" customWidth="1" style="43" min="775" max="775"/>
    <col width="49.28515625" bestFit="1" customWidth="1" style="43" min="776" max="776"/>
    <col width="12.7109375" customWidth="1" style="43" min="777" max="778"/>
    <col width="13.5703125" bestFit="1" customWidth="1" style="43" min="779" max="780"/>
    <col width="17.7109375" bestFit="1" customWidth="1" style="43" min="781" max="781"/>
    <col width="12.7109375" customWidth="1" style="43" min="782" max="784"/>
    <col width="18.7109375" customWidth="1" style="43" min="785" max="785"/>
    <col width="12.7109375" customWidth="1" style="43" min="786" max="786"/>
    <col width="10.7109375" customWidth="1" style="43" min="787" max="787"/>
    <col width="9.85546875" bestFit="1" customWidth="1" style="43" min="788" max="788"/>
    <col width="12.42578125" bestFit="1" customWidth="1" style="43" min="789" max="789"/>
    <col width="13.140625" bestFit="1" customWidth="1" style="43" min="790" max="790"/>
    <col width="6.85546875" customWidth="1" style="43" min="791" max="791"/>
    <col width="12.85546875" bestFit="1" customWidth="1" style="43" min="792" max="792"/>
    <col width="6.85546875" customWidth="1" style="43" min="793" max="1025"/>
    <col width="5.7109375" customWidth="1" style="43" min="1026" max="1026"/>
    <col width="12.7109375" customWidth="1" style="43" min="1027" max="1027"/>
    <col width="10.7109375" customWidth="1" style="43" min="1028" max="1028"/>
    <col width="15.28515625" bestFit="1" customWidth="1" style="43" min="1029" max="1029"/>
    <col width="12.7109375" customWidth="1" style="43" min="1030" max="1030"/>
    <col width="11.7109375" customWidth="1" style="43" min="1031" max="1031"/>
    <col width="49.28515625" bestFit="1" customWidth="1" style="43" min="1032" max="1032"/>
    <col width="12.7109375" customWidth="1" style="43" min="1033" max="1034"/>
    <col width="13.5703125" bestFit="1" customWidth="1" style="43" min="1035" max="1036"/>
    <col width="17.7109375" bestFit="1" customWidth="1" style="43" min="1037" max="1037"/>
    <col width="12.7109375" customWidth="1" style="43" min="1038" max="1040"/>
    <col width="18.7109375" customWidth="1" style="43" min="1041" max="1041"/>
    <col width="12.7109375" customWidth="1" style="43" min="1042" max="1042"/>
    <col width="10.7109375" customWidth="1" style="43" min="1043" max="1043"/>
    <col width="9.85546875" bestFit="1" customWidth="1" style="43" min="1044" max="1044"/>
    <col width="12.42578125" bestFit="1" customWidth="1" style="43" min="1045" max="1045"/>
    <col width="13.140625" bestFit="1" customWidth="1" style="43" min="1046" max="1046"/>
    <col width="6.85546875" customWidth="1" style="43" min="1047" max="1047"/>
    <col width="12.85546875" bestFit="1" customWidth="1" style="43" min="1048" max="1048"/>
    <col width="6.85546875" customWidth="1" style="43" min="1049" max="1281"/>
    <col width="5.7109375" customWidth="1" style="43" min="1282" max="1282"/>
    <col width="12.7109375" customWidth="1" style="43" min="1283" max="1283"/>
    <col width="10.7109375" customWidth="1" style="43" min="1284" max="1284"/>
    <col width="15.28515625" bestFit="1" customWidth="1" style="43" min="1285" max="1285"/>
    <col width="12.7109375" customWidth="1" style="43" min="1286" max="1286"/>
    <col width="11.7109375" customWidth="1" style="43" min="1287" max="1287"/>
    <col width="49.28515625" bestFit="1" customWidth="1" style="43" min="1288" max="1288"/>
    <col width="12.7109375" customWidth="1" style="43" min="1289" max="1290"/>
    <col width="13.5703125" bestFit="1" customWidth="1" style="43" min="1291" max="1292"/>
    <col width="17.7109375" bestFit="1" customWidth="1" style="43" min="1293" max="1293"/>
    <col width="12.7109375" customWidth="1" style="43" min="1294" max="1296"/>
    <col width="18.7109375" customWidth="1" style="43" min="1297" max="1297"/>
    <col width="12.7109375" customWidth="1" style="43" min="1298" max="1298"/>
    <col width="10.7109375" customWidth="1" style="43" min="1299" max="1299"/>
    <col width="9.85546875" bestFit="1" customWidth="1" style="43" min="1300" max="1300"/>
    <col width="12.42578125" bestFit="1" customWidth="1" style="43" min="1301" max="1301"/>
    <col width="13.140625" bestFit="1" customWidth="1" style="43" min="1302" max="1302"/>
    <col width="6.85546875" customWidth="1" style="43" min="1303" max="1303"/>
    <col width="12.85546875" bestFit="1" customWidth="1" style="43" min="1304" max="1304"/>
    <col width="6.85546875" customWidth="1" style="43" min="1305" max="1537"/>
    <col width="5.7109375" customWidth="1" style="43" min="1538" max="1538"/>
    <col width="12.7109375" customWidth="1" style="43" min="1539" max="1539"/>
    <col width="10.7109375" customWidth="1" style="43" min="1540" max="1540"/>
    <col width="15.28515625" bestFit="1" customWidth="1" style="43" min="1541" max="1541"/>
    <col width="12.7109375" customWidth="1" style="43" min="1542" max="1542"/>
    <col width="11.7109375" customWidth="1" style="43" min="1543" max="1543"/>
    <col width="49.28515625" bestFit="1" customWidth="1" style="43" min="1544" max="1544"/>
    <col width="12.7109375" customWidth="1" style="43" min="1545" max="1546"/>
    <col width="13.5703125" bestFit="1" customWidth="1" style="43" min="1547" max="1548"/>
    <col width="17.7109375" bestFit="1" customWidth="1" style="43" min="1549" max="1549"/>
    <col width="12.7109375" customWidth="1" style="43" min="1550" max="1552"/>
    <col width="18.7109375" customWidth="1" style="43" min="1553" max="1553"/>
    <col width="12.7109375" customWidth="1" style="43" min="1554" max="1554"/>
    <col width="10.7109375" customWidth="1" style="43" min="1555" max="1555"/>
    <col width="9.85546875" bestFit="1" customWidth="1" style="43" min="1556" max="1556"/>
    <col width="12.42578125" bestFit="1" customWidth="1" style="43" min="1557" max="1557"/>
    <col width="13.140625" bestFit="1" customWidth="1" style="43" min="1558" max="1558"/>
    <col width="6.85546875" customWidth="1" style="43" min="1559" max="1559"/>
    <col width="12.85546875" bestFit="1" customWidth="1" style="43" min="1560" max="1560"/>
    <col width="6.85546875" customWidth="1" style="43" min="1561" max="1793"/>
    <col width="5.7109375" customWidth="1" style="43" min="1794" max="1794"/>
    <col width="12.7109375" customWidth="1" style="43" min="1795" max="1795"/>
    <col width="10.7109375" customWidth="1" style="43" min="1796" max="1796"/>
    <col width="15.28515625" bestFit="1" customWidth="1" style="43" min="1797" max="1797"/>
    <col width="12.7109375" customWidth="1" style="43" min="1798" max="1798"/>
    <col width="11.7109375" customWidth="1" style="43" min="1799" max="1799"/>
    <col width="49.28515625" bestFit="1" customWidth="1" style="43" min="1800" max="1800"/>
    <col width="12.7109375" customWidth="1" style="43" min="1801" max="1802"/>
    <col width="13.5703125" bestFit="1" customWidth="1" style="43" min="1803" max="1804"/>
    <col width="17.7109375" bestFit="1" customWidth="1" style="43" min="1805" max="1805"/>
    <col width="12.7109375" customWidth="1" style="43" min="1806" max="1808"/>
    <col width="18.7109375" customWidth="1" style="43" min="1809" max="1809"/>
    <col width="12.7109375" customWidth="1" style="43" min="1810" max="1810"/>
    <col width="10.7109375" customWidth="1" style="43" min="1811" max="1811"/>
    <col width="9.85546875" bestFit="1" customWidth="1" style="43" min="1812" max="1812"/>
    <col width="12.42578125" bestFit="1" customWidth="1" style="43" min="1813" max="1813"/>
    <col width="13.140625" bestFit="1" customWidth="1" style="43" min="1814" max="1814"/>
    <col width="6.85546875" customWidth="1" style="43" min="1815" max="1815"/>
    <col width="12.85546875" bestFit="1" customWidth="1" style="43" min="1816" max="1816"/>
    <col width="6.85546875" customWidth="1" style="43" min="1817" max="2049"/>
    <col width="5.7109375" customWidth="1" style="43" min="2050" max="2050"/>
    <col width="12.7109375" customWidth="1" style="43" min="2051" max="2051"/>
    <col width="10.7109375" customWidth="1" style="43" min="2052" max="2052"/>
    <col width="15.28515625" bestFit="1" customWidth="1" style="43" min="2053" max="2053"/>
    <col width="12.7109375" customWidth="1" style="43" min="2054" max="2054"/>
    <col width="11.7109375" customWidth="1" style="43" min="2055" max="2055"/>
    <col width="49.28515625" bestFit="1" customWidth="1" style="43" min="2056" max="2056"/>
    <col width="12.7109375" customWidth="1" style="43" min="2057" max="2058"/>
    <col width="13.5703125" bestFit="1" customWidth="1" style="43" min="2059" max="2060"/>
    <col width="17.7109375" bestFit="1" customWidth="1" style="43" min="2061" max="2061"/>
    <col width="12.7109375" customWidth="1" style="43" min="2062" max="2064"/>
    <col width="18.7109375" customWidth="1" style="43" min="2065" max="2065"/>
    <col width="12.7109375" customWidth="1" style="43" min="2066" max="2066"/>
    <col width="10.7109375" customWidth="1" style="43" min="2067" max="2067"/>
    <col width="9.85546875" bestFit="1" customWidth="1" style="43" min="2068" max="2068"/>
    <col width="12.42578125" bestFit="1" customWidth="1" style="43" min="2069" max="2069"/>
    <col width="13.140625" bestFit="1" customWidth="1" style="43" min="2070" max="2070"/>
    <col width="6.85546875" customWidth="1" style="43" min="2071" max="2071"/>
    <col width="12.85546875" bestFit="1" customWidth="1" style="43" min="2072" max="2072"/>
    <col width="6.85546875" customWidth="1" style="43" min="2073" max="2305"/>
    <col width="5.7109375" customWidth="1" style="43" min="2306" max="2306"/>
    <col width="12.7109375" customWidth="1" style="43" min="2307" max="2307"/>
    <col width="10.7109375" customWidth="1" style="43" min="2308" max="2308"/>
    <col width="15.28515625" bestFit="1" customWidth="1" style="43" min="2309" max="2309"/>
    <col width="12.7109375" customWidth="1" style="43" min="2310" max="2310"/>
    <col width="11.7109375" customWidth="1" style="43" min="2311" max="2311"/>
    <col width="49.28515625" bestFit="1" customWidth="1" style="43" min="2312" max="2312"/>
    <col width="12.7109375" customWidth="1" style="43" min="2313" max="2314"/>
    <col width="13.5703125" bestFit="1" customWidth="1" style="43" min="2315" max="2316"/>
    <col width="17.7109375" bestFit="1" customWidth="1" style="43" min="2317" max="2317"/>
    <col width="12.7109375" customWidth="1" style="43" min="2318" max="2320"/>
    <col width="18.7109375" customWidth="1" style="43" min="2321" max="2321"/>
    <col width="12.7109375" customWidth="1" style="43" min="2322" max="2322"/>
    <col width="10.7109375" customWidth="1" style="43" min="2323" max="2323"/>
    <col width="9.85546875" bestFit="1" customWidth="1" style="43" min="2324" max="2324"/>
    <col width="12.42578125" bestFit="1" customWidth="1" style="43" min="2325" max="2325"/>
    <col width="13.140625" bestFit="1" customWidth="1" style="43" min="2326" max="2326"/>
    <col width="6.85546875" customWidth="1" style="43" min="2327" max="2327"/>
    <col width="12.85546875" bestFit="1" customWidth="1" style="43" min="2328" max="2328"/>
    <col width="6.85546875" customWidth="1" style="43" min="2329" max="2561"/>
    <col width="5.7109375" customWidth="1" style="43" min="2562" max="2562"/>
    <col width="12.7109375" customWidth="1" style="43" min="2563" max="2563"/>
    <col width="10.7109375" customWidth="1" style="43" min="2564" max="2564"/>
    <col width="15.28515625" bestFit="1" customWidth="1" style="43" min="2565" max="2565"/>
    <col width="12.7109375" customWidth="1" style="43" min="2566" max="2566"/>
    <col width="11.7109375" customWidth="1" style="43" min="2567" max="2567"/>
    <col width="49.28515625" bestFit="1" customWidth="1" style="43" min="2568" max="2568"/>
    <col width="12.7109375" customWidth="1" style="43" min="2569" max="2570"/>
    <col width="13.5703125" bestFit="1" customWidth="1" style="43" min="2571" max="2572"/>
    <col width="17.7109375" bestFit="1" customWidth="1" style="43" min="2573" max="2573"/>
    <col width="12.7109375" customWidth="1" style="43" min="2574" max="2576"/>
    <col width="18.7109375" customWidth="1" style="43" min="2577" max="2577"/>
    <col width="12.7109375" customWidth="1" style="43" min="2578" max="2578"/>
    <col width="10.7109375" customWidth="1" style="43" min="2579" max="2579"/>
    <col width="9.85546875" bestFit="1" customWidth="1" style="43" min="2580" max="2580"/>
    <col width="12.42578125" bestFit="1" customWidth="1" style="43" min="2581" max="2581"/>
    <col width="13.140625" bestFit="1" customWidth="1" style="43" min="2582" max="2582"/>
    <col width="6.85546875" customWidth="1" style="43" min="2583" max="2583"/>
    <col width="12.85546875" bestFit="1" customWidth="1" style="43" min="2584" max="2584"/>
    <col width="6.85546875" customWidth="1" style="43" min="2585" max="2817"/>
    <col width="5.7109375" customWidth="1" style="43" min="2818" max="2818"/>
    <col width="12.7109375" customWidth="1" style="43" min="2819" max="2819"/>
    <col width="10.7109375" customWidth="1" style="43" min="2820" max="2820"/>
    <col width="15.28515625" bestFit="1" customWidth="1" style="43" min="2821" max="2821"/>
    <col width="12.7109375" customWidth="1" style="43" min="2822" max="2822"/>
    <col width="11.7109375" customWidth="1" style="43" min="2823" max="2823"/>
    <col width="49.28515625" bestFit="1" customWidth="1" style="43" min="2824" max="2824"/>
    <col width="12.7109375" customWidth="1" style="43" min="2825" max="2826"/>
    <col width="13.5703125" bestFit="1" customWidth="1" style="43" min="2827" max="2828"/>
    <col width="17.7109375" bestFit="1" customWidth="1" style="43" min="2829" max="2829"/>
    <col width="12.7109375" customWidth="1" style="43" min="2830" max="2832"/>
    <col width="18.7109375" customWidth="1" style="43" min="2833" max="2833"/>
    <col width="12.7109375" customWidth="1" style="43" min="2834" max="2834"/>
    <col width="10.7109375" customWidth="1" style="43" min="2835" max="2835"/>
    <col width="9.85546875" bestFit="1" customWidth="1" style="43" min="2836" max="2836"/>
    <col width="12.42578125" bestFit="1" customWidth="1" style="43" min="2837" max="2837"/>
    <col width="13.140625" bestFit="1" customWidth="1" style="43" min="2838" max="2838"/>
    <col width="6.85546875" customWidth="1" style="43" min="2839" max="2839"/>
    <col width="12.85546875" bestFit="1" customWidth="1" style="43" min="2840" max="2840"/>
    <col width="6.85546875" customWidth="1" style="43" min="2841" max="3073"/>
    <col width="5.7109375" customWidth="1" style="43" min="3074" max="3074"/>
    <col width="12.7109375" customWidth="1" style="43" min="3075" max="3075"/>
    <col width="10.7109375" customWidth="1" style="43" min="3076" max="3076"/>
    <col width="15.28515625" bestFit="1" customWidth="1" style="43" min="3077" max="3077"/>
    <col width="12.7109375" customWidth="1" style="43" min="3078" max="3078"/>
    <col width="11.7109375" customWidth="1" style="43" min="3079" max="3079"/>
    <col width="49.28515625" bestFit="1" customWidth="1" style="43" min="3080" max="3080"/>
    <col width="12.7109375" customWidth="1" style="43" min="3081" max="3082"/>
    <col width="13.5703125" bestFit="1" customWidth="1" style="43" min="3083" max="3084"/>
    <col width="17.7109375" bestFit="1" customWidth="1" style="43" min="3085" max="3085"/>
    <col width="12.7109375" customWidth="1" style="43" min="3086" max="3088"/>
    <col width="18.7109375" customWidth="1" style="43" min="3089" max="3089"/>
    <col width="12.7109375" customWidth="1" style="43" min="3090" max="3090"/>
    <col width="10.7109375" customWidth="1" style="43" min="3091" max="3091"/>
    <col width="9.85546875" bestFit="1" customWidth="1" style="43" min="3092" max="3092"/>
    <col width="12.42578125" bestFit="1" customWidth="1" style="43" min="3093" max="3093"/>
    <col width="13.140625" bestFit="1" customWidth="1" style="43" min="3094" max="3094"/>
    <col width="6.85546875" customWidth="1" style="43" min="3095" max="3095"/>
    <col width="12.85546875" bestFit="1" customWidth="1" style="43" min="3096" max="3096"/>
    <col width="6.85546875" customWidth="1" style="43" min="3097" max="3329"/>
    <col width="5.7109375" customWidth="1" style="43" min="3330" max="3330"/>
    <col width="12.7109375" customWidth="1" style="43" min="3331" max="3331"/>
    <col width="10.7109375" customWidth="1" style="43" min="3332" max="3332"/>
    <col width="15.28515625" bestFit="1" customWidth="1" style="43" min="3333" max="3333"/>
    <col width="12.7109375" customWidth="1" style="43" min="3334" max="3334"/>
    <col width="11.7109375" customWidth="1" style="43" min="3335" max="3335"/>
    <col width="49.28515625" bestFit="1" customWidth="1" style="43" min="3336" max="3336"/>
    <col width="12.7109375" customWidth="1" style="43" min="3337" max="3338"/>
    <col width="13.5703125" bestFit="1" customWidth="1" style="43" min="3339" max="3340"/>
    <col width="17.7109375" bestFit="1" customWidth="1" style="43" min="3341" max="3341"/>
    <col width="12.7109375" customWidth="1" style="43" min="3342" max="3344"/>
    <col width="18.7109375" customWidth="1" style="43" min="3345" max="3345"/>
    <col width="12.7109375" customWidth="1" style="43" min="3346" max="3346"/>
    <col width="10.7109375" customWidth="1" style="43" min="3347" max="3347"/>
    <col width="9.85546875" bestFit="1" customWidth="1" style="43" min="3348" max="3348"/>
    <col width="12.42578125" bestFit="1" customWidth="1" style="43" min="3349" max="3349"/>
    <col width="13.140625" bestFit="1" customWidth="1" style="43" min="3350" max="3350"/>
    <col width="6.85546875" customWidth="1" style="43" min="3351" max="3351"/>
    <col width="12.85546875" bestFit="1" customWidth="1" style="43" min="3352" max="3352"/>
    <col width="6.85546875" customWidth="1" style="43" min="3353" max="3585"/>
    <col width="5.7109375" customWidth="1" style="43" min="3586" max="3586"/>
    <col width="12.7109375" customWidth="1" style="43" min="3587" max="3587"/>
    <col width="10.7109375" customWidth="1" style="43" min="3588" max="3588"/>
    <col width="15.28515625" bestFit="1" customWidth="1" style="43" min="3589" max="3589"/>
    <col width="12.7109375" customWidth="1" style="43" min="3590" max="3590"/>
    <col width="11.7109375" customWidth="1" style="43" min="3591" max="3591"/>
    <col width="49.28515625" bestFit="1" customWidth="1" style="43" min="3592" max="3592"/>
    <col width="12.7109375" customWidth="1" style="43" min="3593" max="3594"/>
    <col width="13.5703125" bestFit="1" customWidth="1" style="43" min="3595" max="3596"/>
    <col width="17.7109375" bestFit="1" customWidth="1" style="43" min="3597" max="3597"/>
    <col width="12.7109375" customWidth="1" style="43" min="3598" max="3600"/>
    <col width="18.7109375" customWidth="1" style="43" min="3601" max="3601"/>
    <col width="12.7109375" customWidth="1" style="43" min="3602" max="3602"/>
    <col width="10.7109375" customWidth="1" style="43" min="3603" max="3603"/>
    <col width="9.85546875" bestFit="1" customWidth="1" style="43" min="3604" max="3604"/>
    <col width="12.42578125" bestFit="1" customWidth="1" style="43" min="3605" max="3605"/>
    <col width="13.140625" bestFit="1" customWidth="1" style="43" min="3606" max="3606"/>
    <col width="6.85546875" customWidth="1" style="43" min="3607" max="3607"/>
    <col width="12.85546875" bestFit="1" customWidth="1" style="43" min="3608" max="3608"/>
    <col width="6.85546875" customWidth="1" style="43" min="3609" max="3841"/>
    <col width="5.7109375" customWidth="1" style="43" min="3842" max="3842"/>
    <col width="12.7109375" customWidth="1" style="43" min="3843" max="3843"/>
    <col width="10.7109375" customWidth="1" style="43" min="3844" max="3844"/>
    <col width="15.28515625" bestFit="1" customWidth="1" style="43" min="3845" max="3845"/>
    <col width="12.7109375" customWidth="1" style="43" min="3846" max="3846"/>
    <col width="11.7109375" customWidth="1" style="43" min="3847" max="3847"/>
    <col width="49.28515625" bestFit="1" customWidth="1" style="43" min="3848" max="3848"/>
    <col width="12.7109375" customWidth="1" style="43" min="3849" max="3850"/>
    <col width="13.5703125" bestFit="1" customWidth="1" style="43" min="3851" max="3852"/>
    <col width="17.7109375" bestFit="1" customWidth="1" style="43" min="3853" max="3853"/>
    <col width="12.7109375" customWidth="1" style="43" min="3854" max="3856"/>
    <col width="18.7109375" customWidth="1" style="43" min="3857" max="3857"/>
    <col width="12.7109375" customWidth="1" style="43" min="3858" max="3858"/>
    <col width="10.7109375" customWidth="1" style="43" min="3859" max="3859"/>
    <col width="9.85546875" bestFit="1" customWidth="1" style="43" min="3860" max="3860"/>
    <col width="12.42578125" bestFit="1" customWidth="1" style="43" min="3861" max="3861"/>
    <col width="13.140625" bestFit="1" customWidth="1" style="43" min="3862" max="3862"/>
    <col width="6.85546875" customWidth="1" style="43" min="3863" max="3863"/>
    <col width="12.85546875" bestFit="1" customWidth="1" style="43" min="3864" max="3864"/>
    <col width="6.85546875" customWidth="1" style="43" min="3865" max="4097"/>
    <col width="5.7109375" customWidth="1" style="43" min="4098" max="4098"/>
    <col width="12.7109375" customWidth="1" style="43" min="4099" max="4099"/>
    <col width="10.7109375" customWidth="1" style="43" min="4100" max="4100"/>
    <col width="15.28515625" bestFit="1" customWidth="1" style="43" min="4101" max="4101"/>
    <col width="12.7109375" customWidth="1" style="43" min="4102" max="4102"/>
    <col width="11.7109375" customWidth="1" style="43" min="4103" max="4103"/>
    <col width="49.28515625" bestFit="1" customWidth="1" style="43" min="4104" max="4104"/>
    <col width="12.7109375" customWidth="1" style="43" min="4105" max="4106"/>
    <col width="13.5703125" bestFit="1" customWidth="1" style="43" min="4107" max="4108"/>
    <col width="17.7109375" bestFit="1" customWidth="1" style="43" min="4109" max="4109"/>
    <col width="12.7109375" customWidth="1" style="43" min="4110" max="4112"/>
    <col width="18.7109375" customWidth="1" style="43" min="4113" max="4113"/>
    <col width="12.7109375" customWidth="1" style="43" min="4114" max="4114"/>
    <col width="10.7109375" customWidth="1" style="43" min="4115" max="4115"/>
    <col width="9.85546875" bestFit="1" customWidth="1" style="43" min="4116" max="4116"/>
    <col width="12.42578125" bestFit="1" customWidth="1" style="43" min="4117" max="4117"/>
    <col width="13.140625" bestFit="1" customWidth="1" style="43" min="4118" max="4118"/>
    <col width="6.85546875" customWidth="1" style="43" min="4119" max="4119"/>
    <col width="12.85546875" bestFit="1" customWidth="1" style="43" min="4120" max="4120"/>
    <col width="6.85546875" customWidth="1" style="43" min="4121" max="4353"/>
    <col width="5.7109375" customWidth="1" style="43" min="4354" max="4354"/>
    <col width="12.7109375" customWidth="1" style="43" min="4355" max="4355"/>
    <col width="10.7109375" customWidth="1" style="43" min="4356" max="4356"/>
    <col width="15.28515625" bestFit="1" customWidth="1" style="43" min="4357" max="4357"/>
    <col width="12.7109375" customWidth="1" style="43" min="4358" max="4358"/>
    <col width="11.7109375" customWidth="1" style="43" min="4359" max="4359"/>
    <col width="49.28515625" bestFit="1" customWidth="1" style="43" min="4360" max="4360"/>
    <col width="12.7109375" customWidth="1" style="43" min="4361" max="4362"/>
    <col width="13.5703125" bestFit="1" customWidth="1" style="43" min="4363" max="4364"/>
    <col width="17.7109375" bestFit="1" customWidth="1" style="43" min="4365" max="4365"/>
    <col width="12.7109375" customWidth="1" style="43" min="4366" max="4368"/>
    <col width="18.7109375" customWidth="1" style="43" min="4369" max="4369"/>
    <col width="12.7109375" customWidth="1" style="43" min="4370" max="4370"/>
    <col width="10.7109375" customWidth="1" style="43" min="4371" max="4371"/>
    <col width="9.85546875" bestFit="1" customWidth="1" style="43" min="4372" max="4372"/>
    <col width="12.42578125" bestFit="1" customWidth="1" style="43" min="4373" max="4373"/>
    <col width="13.140625" bestFit="1" customWidth="1" style="43" min="4374" max="4374"/>
    <col width="6.85546875" customWidth="1" style="43" min="4375" max="4375"/>
    <col width="12.85546875" bestFit="1" customWidth="1" style="43" min="4376" max="4376"/>
    <col width="6.85546875" customWidth="1" style="43" min="4377" max="4609"/>
    <col width="5.7109375" customWidth="1" style="43" min="4610" max="4610"/>
    <col width="12.7109375" customWidth="1" style="43" min="4611" max="4611"/>
    <col width="10.7109375" customWidth="1" style="43" min="4612" max="4612"/>
    <col width="15.28515625" bestFit="1" customWidth="1" style="43" min="4613" max="4613"/>
    <col width="12.7109375" customWidth="1" style="43" min="4614" max="4614"/>
    <col width="11.7109375" customWidth="1" style="43" min="4615" max="4615"/>
    <col width="49.28515625" bestFit="1" customWidth="1" style="43" min="4616" max="4616"/>
    <col width="12.7109375" customWidth="1" style="43" min="4617" max="4618"/>
    <col width="13.5703125" bestFit="1" customWidth="1" style="43" min="4619" max="4620"/>
    <col width="17.7109375" bestFit="1" customWidth="1" style="43" min="4621" max="4621"/>
    <col width="12.7109375" customWidth="1" style="43" min="4622" max="4624"/>
    <col width="18.7109375" customWidth="1" style="43" min="4625" max="4625"/>
    <col width="12.7109375" customWidth="1" style="43" min="4626" max="4626"/>
    <col width="10.7109375" customWidth="1" style="43" min="4627" max="4627"/>
    <col width="9.85546875" bestFit="1" customWidth="1" style="43" min="4628" max="4628"/>
    <col width="12.42578125" bestFit="1" customWidth="1" style="43" min="4629" max="4629"/>
    <col width="13.140625" bestFit="1" customWidth="1" style="43" min="4630" max="4630"/>
    <col width="6.85546875" customWidth="1" style="43" min="4631" max="4631"/>
    <col width="12.85546875" bestFit="1" customWidth="1" style="43" min="4632" max="4632"/>
    <col width="6.85546875" customWidth="1" style="43" min="4633" max="4865"/>
    <col width="5.7109375" customWidth="1" style="43" min="4866" max="4866"/>
    <col width="12.7109375" customWidth="1" style="43" min="4867" max="4867"/>
    <col width="10.7109375" customWidth="1" style="43" min="4868" max="4868"/>
    <col width="15.28515625" bestFit="1" customWidth="1" style="43" min="4869" max="4869"/>
    <col width="12.7109375" customWidth="1" style="43" min="4870" max="4870"/>
    <col width="11.7109375" customWidth="1" style="43" min="4871" max="4871"/>
    <col width="49.28515625" bestFit="1" customWidth="1" style="43" min="4872" max="4872"/>
    <col width="12.7109375" customWidth="1" style="43" min="4873" max="4874"/>
    <col width="13.5703125" bestFit="1" customWidth="1" style="43" min="4875" max="4876"/>
    <col width="17.7109375" bestFit="1" customWidth="1" style="43" min="4877" max="4877"/>
    <col width="12.7109375" customWidth="1" style="43" min="4878" max="4880"/>
    <col width="18.7109375" customWidth="1" style="43" min="4881" max="4881"/>
    <col width="12.7109375" customWidth="1" style="43" min="4882" max="4882"/>
    <col width="10.7109375" customWidth="1" style="43" min="4883" max="4883"/>
    <col width="9.85546875" bestFit="1" customWidth="1" style="43" min="4884" max="4884"/>
    <col width="12.42578125" bestFit="1" customWidth="1" style="43" min="4885" max="4885"/>
    <col width="13.140625" bestFit="1" customWidth="1" style="43" min="4886" max="4886"/>
    <col width="6.85546875" customWidth="1" style="43" min="4887" max="4887"/>
    <col width="12.85546875" bestFit="1" customWidth="1" style="43" min="4888" max="4888"/>
    <col width="6.85546875" customWidth="1" style="43" min="4889" max="5121"/>
    <col width="5.7109375" customWidth="1" style="43" min="5122" max="5122"/>
    <col width="12.7109375" customWidth="1" style="43" min="5123" max="5123"/>
    <col width="10.7109375" customWidth="1" style="43" min="5124" max="5124"/>
    <col width="15.28515625" bestFit="1" customWidth="1" style="43" min="5125" max="5125"/>
    <col width="12.7109375" customWidth="1" style="43" min="5126" max="5126"/>
    <col width="11.7109375" customWidth="1" style="43" min="5127" max="5127"/>
    <col width="49.28515625" bestFit="1" customWidth="1" style="43" min="5128" max="5128"/>
    <col width="12.7109375" customWidth="1" style="43" min="5129" max="5130"/>
    <col width="13.5703125" bestFit="1" customWidth="1" style="43" min="5131" max="5132"/>
    <col width="17.7109375" bestFit="1" customWidth="1" style="43" min="5133" max="5133"/>
    <col width="12.7109375" customWidth="1" style="43" min="5134" max="5136"/>
    <col width="18.7109375" customWidth="1" style="43" min="5137" max="5137"/>
    <col width="12.7109375" customWidth="1" style="43" min="5138" max="5138"/>
    <col width="10.7109375" customWidth="1" style="43" min="5139" max="5139"/>
    <col width="9.85546875" bestFit="1" customWidth="1" style="43" min="5140" max="5140"/>
    <col width="12.42578125" bestFit="1" customWidth="1" style="43" min="5141" max="5141"/>
    <col width="13.140625" bestFit="1" customWidth="1" style="43" min="5142" max="5142"/>
    <col width="6.85546875" customWidth="1" style="43" min="5143" max="5143"/>
    <col width="12.85546875" bestFit="1" customWidth="1" style="43" min="5144" max="5144"/>
    <col width="6.85546875" customWidth="1" style="43" min="5145" max="5377"/>
    <col width="5.7109375" customWidth="1" style="43" min="5378" max="5378"/>
    <col width="12.7109375" customWidth="1" style="43" min="5379" max="5379"/>
    <col width="10.7109375" customWidth="1" style="43" min="5380" max="5380"/>
    <col width="15.28515625" bestFit="1" customWidth="1" style="43" min="5381" max="5381"/>
    <col width="12.7109375" customWidth="1" style="43" min="5382" max="5382"/>
    <col width="11.7109375" customWidth="1" style="43" min="5383" max="5383"/>
    <col width="49.28515625" bestFit="1" customWidth="1" style="43" min="5384" max="5384"/>
    <col width="12.7109375" customWidth="1" style="43" min="5385" max="5386"/>
    <col width="13.5703125" bestFit="1" customWidth="1" style="43" min="5387" max="5388"/>
    <col width="17.7109375" bestFit="1" customWidth="1" style="43" min="5389" max="5389"/>
    <col width="12.7109375" customWidth="1" style="43" min="5390" max="5392"/>
    <col width="18.7109375" customWidth="1" style="43" min="5393" max="5393"/>
    <col width="12.7109375" customWidth="1" style="43" min="5394" max="5394"/>
    <col width="10.7109375" customWidth="1" style="43" min="5395" max="5395"/>
    <col width="9.85546875" bestFit="1" customWidth="1" style="43" min="5396" max="5396"/>
    <col width="12.42578125" bestFit="1" customWidth="1" style="43" min="5397" max="5397"/>
    <col width="13.140625" bestFit="1" customWidth="1" style="43" min="5398" max="5398"/>
    <col width="6.85546875" customWidth="1" style="43" min="5399" max="5399"/>
    <col width="12.85546875" bestFit="1" customWidth="1" style="43" min="5400" max="5400"/>
    <col width="6.85546875" customWidth="1" style="43" min="5401" max="5633"/>
    <col width="5.7109375" customWidth="1" style="43" min="5634" max="5634"/>
    <col width="12.7109375" customWidth="1" style="43" min="5635" max="5635"/>
    <col width="10.7109375" customWidth="1" style="43" min="5636" max="5636"/>
    <col width="15.28515625" bestFit="1" customWidth="1" style="43" min="5637" max="5637"/>
    <col width="12.7109375" customWidth="1" style="43" min="5638" max="5638"/>
    <col width="11.7109375" customWidth="1" style="43" min="5639" max="5639"/>
    <col width="49.28515625" bestFit="1" customWidth="1" style="43" min="5640" max="5640"/>
    <col width="12.7109375" customWidth="1" style="43" min="5641" max="5642"/>
    <col width="13.5703125" bestFit="1" customWidth="1" style="43" min="5643" max="5644"/>
    <col width="17.7109375" bestFit="1" customWidth="1" style="43" min="5645" max="5645"/>
    <col width="12.7109375" customWidth="1" style="43" min="5646" max="5648"/>
    <col width="18.7109375" customWidth="1" style="43" min="5649" max="5649"/>
    <col width="12.7109375" customWidth="1" style="43" min="5650" max="5650"/>
    <col width="10.7109375" customWidth="1" style="43" min="5651" max="5651"/>
    <col width="9.85546875" bestFit="1" customWidth="1" style="43" min="5652" max="5652"/>
    <col width="12.42578125" bestFit="1" customWidth="1" style="43" min="5653" max="5653"/>
    <col width="13.140625" bestFit="1" customWidth="1" style="43" min="5654" max="5654"/>
    <col width="6.85546875" customWidth="1" style="43" min="5655" max="5655"/>
    <col width="12.85546875" bestFit="1" customWidth="1" style="43" min="5656" max="5656"/>
    <col width="6.85546875" customWidth="1" style="43" min="5657" max="5889"/>
    <col width="5.7109375" customWidth="1" style="43" min="5890" max="5890"/>
    <col width="12.7109375" customWidth="1" style="43" min="5891" max="5891"/>
    <col width="10.7109375" customWidth="1" style="43" min="5892" max="5892"/>
    <col width="15.28515625" bestFit="1" customWidth="1" style="43" min="5893" max="5893"/>
    <col width="12.7109375" customWidth="1" style="43" min="5894" max="5894"/>
    <col width="11.7109375" customWidth="1" style="43" min="5895" max="5895"/>
    <col width="49.28515625" bestFit="1" customWidth="1" style="43" min="5896" max="5896"/>
    <col width="12.7109375" customWidth="1" style="43" min="5897" max="5898"/>
    <col width="13.5703125" bestFit="1" customWidth="1" style="43" min="5899" max="5900"/>
    <col width="17.7109375" bestFit="1" customWidth="1" style="43" min="5901" max="5901"/>
    <col width="12.7109375" customWidth="1" style="43" min="5902" max="5904"/>
    <col width="18.7109375" customWidth="1" style="43" min="5905" max="5905"/>
    <col width="12.7109375" customWidth="1" style="43" min="5906" max="5906"/>
    <col width="10.7109375" customWidth="1" style="43" min="5907" max="5907"/>
    <col width="9.85546875" bestFit="1" customWidth="1" style="43" min="5908" max="5908"/>
    <col width="12.42578125" bestFit="1" customWidth="1" style="43" min="5909" max="5909"/>
    <col width="13.140625" bestFit="1" customWidth="1" style="43" min="5910" max="5910"/>
    <col width="6.85546875" customWidth="1" style="43" min="5911" max="5911"/>
    <col width="12.85546875" bestFit="1" customWidth="1" style="43" min="5912" max="5912"/>
    <col width="6.85546875" customWidth="1" style="43" min="5913" max="6145"/>
    <col width="5.7109375" customWidth="1" style="43" min="6146" max="6146"/>
    <col width="12.7109375" customWidth="1" style="43" min="6147" max="6147"/>
    <col width="10.7109375" customWidth="1" style="43" min="6148" max="6148"/>
    <col width="15.28515625" bestFit="1" customWidth="1" style="43" min="6149" max="6149"/>
    <col width="12.7109375" customWidth="1" style="43" min="6150" max="6150"/>
    <col width="11.7109375" customWidth="1" style="43" min="6151" max="6151"/>
    <col width="49.28515625" bestFit="1" customWidth="1" style="43" min="6152" max="6152"/>
    <col width="12.7109375" customWidth="1" style="43" min="6153" max="6154"/>
    <col width="13.5703125" bestFit="1" customWidth="1" style="43" min="6155" max="6156"/>
    <col width="17.7109375" bestFit="1" customWidth="1" style="43" min="6157" max="6157"/>
    <col width="12.7109375" customWidth="1" style="43" min="6158" max="6160"/>
    <col width="18.7109375" customWidth="1" style="43" min="6161" max="6161"/>
    <col width="12.7109375" customWidth="1" style="43" min="6162" max="6162"/>
    <col width="10.7109375" customWidth="1" style="43" min="6163" max="6163"/>
    <col width="9.85546875" bestFit="1" customWidth="1" style="43" min="6164" max="6164"/>
    <col width="12.42578125" bestFit="1" customWidth="1" style="43" min="6165" max="6165"/>
    <col width="13.140625" bestFit="1" customWidth="1" style="43" min="6166" max="6166"/>
    <col width="6.85546875" customWidth="1" style="43" min="6167" max="6167"/>
    <col width="12.85546875" bestFit="1" customWidth="1" style="43" min="6168" max="6168"/>
    <col width="6.85546875" customWidth="1" style="43" min="6169" max="6401"/>
    <col width="5.7109375" customWidth="1" style="43" min="6402" max="6402"/>
    <col width="12.7109375" customWidth="1" style="43" min="6403" max="6403"/>
    <col width="10.7109375" customWidth="1" style="43" min="6404" max="6404"/>
    <col width="15.28515625" bestFit="1" customWidth="1" style="43" min="6405" max="6405"/>
    <col width="12.7109375" customWidth="1" style="43" min="6406" max="6406"/>
    <col width="11.7109375" customWidth="1" style="43" min="6407" max="6407"/>
    <col width="49.28515625" bestFit="1" customWidth="1" style="43" min="6408" max="6408"/>
    <col width="12.7109375" customWidth="1" style="43" min="6409" max="6410"/>
    <col width="13.5703125" bestFit="1" customWidth="1" style="43" min="6411" max="6412"/>
    <col width="17.7109375" bestFit="1" customWidth="1" style="43" min="6413" max="6413"/>
    <col width="12.7109375" customWidth="1" style="43" min="6414" max="6416"/>
    <col width="18.7109375" customWidth="1" style="43" min="6417" max="6417"/>
    <col width="12.7109375" customWidth="1" style="43" min="6418" max="6418"/>
    <col width="10.7109375" customWidth="1" style="43" min="6419" max="6419"/>
    <col width="9.85546875" bestFit="1" customWidth="1" style="43" min="6420" max="6420"/>
    <col width="12.42578125" bestFit="1" customWidth="1" style="43" min="6421" max="6421"/>
    <col width="13.140625" bestFit="1" customWidth="1" style="43" min="6422" max="6422"/>
    <col width="6.85546875" customWidth="1" style="43" min="6423" max="6423"/>
    <col width="12.85546875" bestFit="1" customWidth="1" style="43" min="6424" max="6424"/>
    <col width="6.85546875" customWidth="1" style="43" min="6425" max="6657"/>
    <col width="5.7109375" customWidth="1" style="43" min="6658" max="6658"/>
    <col width="12.7109375" customWidth="1" style="43" min="6659" max="6659"/>
    <col width="10.7109375" customWidth="1" style="43" min="6660" max="6660"/>
    <col width="15.28515625" bestFit="1" customWidth="1" style="43" min="6661" max="6661"/>
    <col width="12.7109375" customWidth="1" style="43" min="6662" max="6662"/>
    <col width="11.7109375" customWidth="1" style="43" min="6663" max="6663"/>
    <col width="49.28515625" bestFit="1" customWidth="1" style="43" min="6664" max="6664"/>
    <col width="12.7109375" customWidth="1" style="43" min="6665" max="6666"/>
    <col width="13.5703125" bestFit="1" customWidth="1" style="43" min="6667" max="6668"/>
    <col width="17.7109375" bestFit="1" customWidth="1" style="43" min="6669" max="6669"/>
    <col width="12.7109375" customWidth="1" style="43" min="6670" max="6672"/>
    <col width="18.7109375" customWidth="1" style="43" min="6673" max="6673"/>
    <col width="12.7109375" customWidth="1" style="43" min="6674" max="6674"/>
    <col width="10.7109375" customWidth="1" style="43" min="6675" max="6675"/>
    <col width="9.85546875" bestFit="1" customWidth="1" style="43" min="6676" max="6676"/>
    <col width="12.42578125" bestFit="1" customWidth="1" style="43" min="6677" max="6677"/>
    <col width="13.140625" bestFit="1" customWidth="1" style="43" min="6678" max="6678"/>
    <col width="6.85546875" customWidth="1" style="43" min="6679" max="6679"/>
    <col width="12.85546875" bestFit="1" customWidth="1" style="43" min="6680" max="6680"/>
    <col width="6.85546875" customWidth="1" style="43" min="6681" max="6913"/>
    <col width="5.7109375" customWidth="1" style="43" min="6914" max="6914"/>
    <col width="12.7109375" customWidth="1" style="43" min="6915" max="6915"/>
    <col width="10.7109375" customWidth="1" style="43" min="6916" max="6916"/>
    <col width="15.28515625" bestFit="1" customWidth="1" style="43" min="6917" max="6917"/>
    <col width="12.7109375" customWidth="1" style="43" min="6918" max="6918"/>
    <col width="11.7109375" customWidth="1" style="43" min="6919" max="6919"/>
    <col width="49.28515625" bestFit="1" customWidth="1" style="43" min="6920" max="6920"/>
    <col width="12.7109375" customWidth="1" style="43" min="6921" max="6922"/>
    <col width="13.5703125" bestFit="1" customWidth="1" style="43" min="6923" max="6924"/>
    <col width="17.7109375" bestFit="1" customWidth="1" style="43" min="6925" max="6925"/>
    <col width="12.7109375" customWidth="1" style="43" min="6926" max="6928"/>
    <col width="18.7109375" customWidth="1" style="43" min="6929" max="6929"/>
    <col width="12.7109375" customWidth="1" style="43" min="6930" max="6930"/>
    <col width="10.7109375" customWidth="1" style="43" min="6931" max="6931"/>
    <col width="9.85546875" bestFit="1" customWidth="1" style="43" min="6932" max="6932"/>
    <col width="12.42578125" bestFit="1" customWidth="1" style="43" min="6933" max="6933"/>
    <col width="13.140625" bestFit="1" customWidth="1" style="43" min="6934" max="6934"/>
    <col width="6.85546875" customWidth="1" style="43" min="6935" max="6935"/>
    <col width="12.85546875" bestFit="1" customWidth="1" style="43" min="6936" max="6936"/>
    <col width="6.85546875" customWidth="1" style="43" min="6937" max="7169"/>
    <col width="5.7109375" customWidth="1" style="43" min="7170" max="7170"/>
    <col width="12.7109375" customWidth="1" style="43" min="7171" max="7171"/>
    <col width="10.7109375" customWidth="1" style="43" min="7172" max="7172"/>
    <col width="15.28515625" bestFit="1" customWidth="1" style="43" min="7173" max="7173"/>
    <col width="12.7109375" customWidth="1" style="43" min="7174" max="7174"/>
    <col width="11.7109375" customWidth="1" style="43" min="7175" max="7175"/>
    <col width="49.28515625" bestFit="1" customWidth="1" style="43" min="7176" max="7176"/>
    <col width="12.7109375" customWidth="1" style="43" min="7177" max="7178"/>
    <col width="13.5703125" bestFit="1" customWidth="1" style="43" min="7179" max="7180"/>
    <col width="17.7109375" bestFit="1" customWidth="1" style="43" min="7181" max="7181"/>
    <col width="12.7109375" customWidth="1" style="43" min="7182" max="7184"/>
    <col width="18.7109375" customWidth="1" style="43" min="7185" max="7185"/>
    <col width="12.7109375" customWidth="1" style="43" min="7186" max="7186"/>
    <col width="10.7109375" customWidth="1" style="43" min="7187" max="7187"/>
    <col width="9.85546875" bestFit="1" customWidth="1" style="43" min="7188" max="7188"/>
    <col width="12.42578125" bestFit="1" customWidth="1" style="43" min="7189" max="7189"/>
    <col width="13.140625" bestFit="1" customWidth="1" style="43" min="7190" max="7190"/>
    <col width="6.85546875" customWidth="1" style="43" min="7191" max="7191"/>
    <col width="12.85546875" bestFit="1" customWidth="1" style="43" min="7192" max="7192"/>
    <col width="6.85546875" customWidth="1" style="43" min="7193" max="7425"/>
    <col width="5.7109375" customWidth="1" style="43" min="7426" max="7426"/>
    <col width="12.7109375" customWidth="1" style="43" min="7427" max="7427"/>
    <col width="10.7109375" customWidth="1" style="43" min="7428" max="7428"/>
    <col width="15.28515625" bestFit="1" customWidth="1" style="43" min="7429" max="7429"/>
    <col width="12.7109375" customWidth="1" style="43" min="7430" max="7430"/>
    <col width="11.7109375" customWidth="1" style="43" min="7431" max="7431"/>
    <col width="49.28515625" bestFit="1" customWidth="1" style="43" min="7432" max="7432"/>
    <col width="12.7109375" customWidth="1" style="43" min="7433" max="7434"/>
    <col width="13.5703125" bestFit="1" customWidth="1" style="43" min="7435" max="7436"/>
    <col width="17.7109375" bestFit="1" customWidth="1" style="43" min="7437" max="7437"/>
    <col width="12.7109375" customWidth="1" style="43" min="7438" max="7440"/>
    <col width="18.7109375" customWidth="1" style="43" min="7441" max="7441"/>
    <col width="12.7109375" customWidth="1" style="43" min="7442" max="7442"/>
    <col width="10.7109375" customWidth="1" style="43" min="7443" max="7443"/>
    <col width="9.85546875" bestFit="1" customWidth="1" style="43" min="7444" max="7444"/>
    <col width="12.42578125" bestFit="1" customWidth="1" style="43" min="7445" max="7445"/>
    <col width="13.140625" bestFit="1" customWidth="1" style="43" min="7446" max="7446"/>
    <col width="6.85546875" customWidth="1" style="43" min="7447" max="7447"/>
    <col width="12.85546875" bestFit="1" customWidth="1" style="43" min="7448" max="7448"/>
    <col width="6.85546875" customWidth="1" style="43" min="7449" max="7681"/>
    <col width="5.7109375" customWidth="1" style="43" min="7682" max="7682"/>
    <col width="12.7109375" customWidth="1" style="43" min="7683" max="7683"/>
    <col width="10.7109375" customWidth="1" style="43" min="7684" max="7684"/>
    <col width="15.28515625" bestFit="1" customWidth="1" style="43" min="7685" max="7685"/>
    <col width="12.7109375" customWidth="1" style="43" min="7686" max="7686"/>
    <col width="11.7109375" customWidth="1" style="43" min="7687" max="7687"/>
    <col width="49.28515625" bestFit="1" customWidth="1" style="43" min="7688" max="7688"/>
    <col width="12.7109375" customWidth="1" style="43" min="7689" max="7690"/>
    <col width="13.5703125" bestFit="1" customWidth="1" style="43" min="7691" max="7692"/>
    <col width="17.7109375" bestFit="1" customWidth="1" style="43" min="7693" max="7693"/>
    <col width="12.7109375" customWidth="1" style="43" min="7694" max="7696"/>
    <col width="18.7109375" customWidth="1" style="43" min="7697" max="7697"/>
    <col width="12.7109375" customWidth="1" style="43" min="7698" max="7698"/>
    <col width="10.7109375" customWidth="1" style="43" min="7699" max="7699"/>
    <col width="9.85546875" bestFit="1" customWidth="1" style="43" min="7700" max="7700"/>
    <col width="12.42578125" bestFit="1" customWidth="1" style="43" min="7701" max="7701"/>
    <col width="13.140625" bestFit="1" customWidth="1" style="43" min="7702" max="7702"/>
    <col width="6.85546875" customWidth="1" style="43" min="7703" max="7703"/>
    <col width="12.85546875" bestFit="1" customWidth="1" style="43" min="7704" max="7704"/>
    <col width="6.85546875" customWidth="1" style="43" min="7705" max="7937"/>
    <col width="5.7109375" customWidth="1" style="43" min="7938" max="7938"/>
    <col width="12.7109375" customWidth="1" style="43" min="7939" max="7939"/>
    <col width="10.7109375" customWidth="1" style="43" min="7940" max="7940"/>
    <col width="15.28515625" bestFit="1" customWidth="1" style="43" min="7941" max="7941"/>
    <col width="12.7109375" customWidth="1" style="43" min="7942" max="7942"/>
    <col width="11.7109375" customWidth="1" style="43" min="7943" max="7943"/>
    <col width="49.28515625" bestFit="1" customWidth="1" style="43" min="7944" max="7944"/>
    <col width="12.7109375" customWidth="1" style="43" min="7945" max="7946"/>
    <col width="13.5703125" bestFit="1" customWidth="1" style="43" min="7947" max="7948"/>
    <col width="17.7109375" bestFit="1" customWidth="1" style="43" min="7949" max="7949"/>
    <col width="12.7109375" customWidth="1" style="43" min="7950" max="7952"/>
    <col width="18.7109375" customWidth="1" style="43" min="7953" max="7953"/>
    <col width="12.7109375" customWidth="1" style="43" min="7954" max="7954"/>
    <col width="10.7109375" customWidth="1" style="43" min="7955" max="7955"/>
    <col width="9.85546875" bestFit="1" customWidth="1" style="43" min="7956" max="7956"/>
    <col width="12.42578125" bestFit="1" customWidth="1" style="43" min="7957" max="7957"/>
    <col width="13.140625" bestFit="1" customWidth="1" style="43" min="7958" max="7958"/>
    <col width="6.85546875" customWidth="1" style="43" min="7959" max="7959"/>
    <col width="12.85546875" bestFit="1" customWidth="1" style="43" min="7960" max="7960"/>
    <col width="6.85546875" customWidth="1" style="43" min="7961" max="8193"/>
    <col width="5.7109375" customWidth="1" style="43" min="8194" max="8194"/>
    <col width="12.7109375" customWidth="1" style="43" min="8195" max="8195"/>
    <col width="10.7109375" customWidth="1" style="43" min="8196" max="8196"/>
    <col width="15.28515625" bestFit="1" customWidth="1" style="43" min="8197" max="8197"/>
    <col width="12.7109375" customWidth="1" style="43" min="8198" max="8198"/>
    <col width="11.7109375" customWidth="1" style="43" min="8199" max="8199"/>
    <col width="49.28515625" bestFit="1" customWidth="1" style="43" min="8200" max="8200"/>
    <col width="12.7109375" customWidth="1" style="43" min="8201" max="8202"/>
    <col width="13.5703125" bestFit="1" customWidth="1" style="43" min="8203" max="8204"/>
    <col width="17.7109375" bestFit="1" customWidth="1" style="43" min="8205" max="8205"/>
    <col width="12.7109375" customWidth="1" style="43" min="8206" max="8208"/>
    <col width="18.7109375" customWidth="1" style="43" min="8209" max="8209"/>
    <col width="12.7109375" customWidth="1" style="43" min="8210" max="8210"/>
    <col width="10.7109375" customWidth="1" style="43" min="8211" max="8211"/>
    <col width="9.85546875" bestFit="1" customWidth="1" style="43" min="8212" max="8212"/>
    <col width="12.42578125" bestFit="1" customWidth="1" style="43" min="8213" max="8213"/>
    <col width="13.140625" bestFit="1" customWidth="1" style="43" min="8214" max="8214"/>
    <col width="6.85546875" customWidth="1" style="43" min="8215" max="8215"/>
    <col width="12.85546875" bestFit="1" customWidth="1" style="43" min="8216" max="8216"/>
    <col width="6.85546875" customWidth="1" style="43" min="8217" max="8449"/>
    <col width="5.7109375" customWidth="1" style="43" min="8450" max="8450"/>
    <col width="12.7109375" customWidth="1" style="43" min="8451" max="8451"/>
    <col width="10.7109375" customWidth="1" style="43" min="8452" max="8452"/>
    <col width="15.28515625" bestFit="1" customWidth="1" style="43" min="8453" max="8453"/>
    <col width="12.7109375" customWidth="1" style="43" min="8454" max="8454"/>
    <col width="11.7109375" customWidth="1" style="43" min="8455" max="8455"/>
    <col width="49.28515625" bestFit="1" customWidth="1" style="43" min="8456" max="8456"/>
    <col width="12.7109375" customWidth="1" style="43" min="8457" max="8458"/>
    <col width="13.5703125" bestFit="1" customWidth="1" style="43" min="8459" max="8460"/>
    <col width="17.7109375" bestFit="1" customWidth="1" style="43" min="8461" max="8461"/>
    <col width="12.7109375" customWidth="1" style="43" min="8462" max="8464"/>
    <col width="18.7109375" customWidth="1" style="43" min="8465" max="8465"/>
    <col width="12.7109375" customWidth="1" style="43" min="8466" max="8466"/>
    <col width="10.7109375" customWidth="1" style="43" min="8467" max="8467"/>
    <col width="9.85546875" bestFit="1" customWidth="1" style="43" min="8468" max="8468"/>
    <col width="12.42578125" bestFit="1" customWidth="1" style="43" min="8469" max="8469"/>
    <col width="13.140625" bestFit="1" customWidth="1" style="43" min="8470" max="8470"/>
    <col width="6.85546875" customWidth="1" style="43" min="8471" max="8471"/>
    <col width="12.85546875" bestFit="1" customWidth="1" style="43" min="8472" max="8472"/>
    <col width="6.85546875" customWidth="1" style="43" min="8473" max="8705"/>
    <col width="5.7109375" customWidth="1" style="43" min="8706" max="8706"/>
    <col width="12.7109375" customWidth="1" style="43" min="8707" max="8707"/>
    <col width="10.7109375" customWidth="1" style="43" min="8708" max="8708"/>
    <col width="15.28515625" bestFit="1" customWidth="1" style="43" min="8709" max="8709"/>
    <col width="12.7109375" customWidth="1" style="43" min="8710" max="8710"/>
    <col width="11.7109375" customWidth="1" style="43" min="8711" max="8711"/>
    <col width="49.28515625" bestFit="1" customWidth="1" style="43" min="8712" max="8712"/>
    <col width="12.7109375" customWidth="1" style="43" min="8713" max="8714"/>
    <col width="13.5703125" bestFit="1" customWidth="1" style="43" min="8715" max="8716"/>
    <col width="17.7109375" bestFit="1" customWidth="1" style="43" min="8717" max="8717"/>
    <col width="12.7109375" customWidth="1" style="43" min="8718" max="8720"/>
    <col width="18.7109375" customWidth="1" style="43" min="8721" max="8721"/>
    <col width="12.7109375" customWidth="1" style="43" min="8722" max="8722"/>
    <col width="10.7109375" customWidth="1" style="43" min="8723" max="8723"/>
    <col width="9.85546875" bestFit="1" customWidth="1" style="43" min="8724" max="8724"/>
    <col width="12.42578125" bestFit="1" customWidth="1" style="43" min="8725" max="8725"/>
    <col width="13.140625" bestFit="1" customWidth="1" style="43" min="8726" max="8726"/>
    <col width="6.85546875" customWidth="1" style="43" min="8727" max="8727"/>
    <col width="12.85546875" bestFit="1" customWidth="1" style="43" min="8728" max="8728"/>
    <col width="6.85546875" customWidth="1" style="43" min="8729" max="8961"/>
    <col width="5.7109375" customWidth="1" style="43" min="8962" max="8962"/>
    <col width="12.7109375" customWidth="1" style="43" min="8963" max="8963"/>
    <col width="10.7109375" customWidth="1" style="43" min="8964" max="8964"/>
    <col width="15.28515625" bestFit="1" customWidth="1" style="43" min="8965" max="8965"/>
    <col width="12.7109375" customWidth="1" style="43" min="8966" max="8966"/>
    <col width="11.7109375" customWidth="1" style="43" min="8967" max="8967"/>
    <col width="49.28515625" bestFit="1" customWidth="1" style="43" min="8968" max="8968"/>
    <col width="12.7109375" customWidth="1" style="43" min="8969" max="8970"/>
    <col width="13.5703125" bestFit="1" customWidth="1" style="43" min="8971" max="8972"/>
    <col width="17.7109375" bestFit="1" customWidth="1" style="43" min="8973" max="8973"/>
    <col width="12.7109375" customWidth="1" style="43" min="8974" max="8976"/>
    <col width="18.7109375" customWidth="1" style="43" min="8977" max="8977"/>
    <col width="12.7109375" customWidth="1" style="43" min="8978" max="8978"/>
    <col width="10.7109375" customWidth="1" style="43" min="8979" max="8979"/>
    <col width="9.85546875" bestFit="1" customWidth="1" style="43" min="8980" max="8980"/>
    <col width="12.42578125" bestFit="1" customWidth="1" style="43" min="8981" max="8981"/>
    <col width="13.140625" bestFit="1" customWidth="1" style="43" min="8982" max="8982"/>
    <col width="6.85546875" customWidth="1" style="43" min="8983" max="8983"/>
    <col width="12.85546875" bestFit="1" customWidth="1" style="43" min="8984" max="8984"/>
    <col width="6.85546875" customWidth="1" style="43" min="8985" max="9217"/>
    <col width="5.7109375" customWidth="1" style="43" min="9218" max="9218"/>
    <col width="12.7109375" customWidth="1" style="43" min="9219" max="9219"/>
    <col width="10.7109375" customWidth="1" style="43" min="9220" max="9220"/>
    <col width="15.28515625" bestFit="1" customWidth="1" style="43" min="9221" max="9221"/>
    <col width="12.7109375" customWidth="1" style="43" min="9222" max="9222"/>
    <col width="11.7109375" customWidth="1" style="43" min="9223" max="9223"/>
    <col width="49.28515625" bestFit="1" customWidth="1" style="43" min="9224" max="9224"/>
    <col width="12.7109375" customWidth="1" style="43" min="9225" max="9226"/>
    <col width="13.5703125" bestFit="1" customWidth="1" style="43" min="9227" max="9228"/>
    <col width="17.7109375" bestFit="1" customWidth="1" style="43" min="9229" max="9229"/>
    <col width="12.7109375" customWidth="1" style="43" min="9230" max="9232"/>
    <col width="18.7109375" customWidth="1" style="43" min="9233" max="9233"/>
    <col width="12.7109375" customWidth="1" style="43" min="9234" max="9234"/>
    <col width="10.7109375" customWidth="1" style="43" min="9235" max="9235"/>
    <col width="9.85546875" bestFit="1" customWidth="1" style="43" min="9236" max="9236"/>
    <col width="12.42578125" bestFit="1" customWidth="1" style="43" min="9237" max="9237"/>
    <col width="13.140625" bestFit="1" customWidth="1" style="43" min="9238" max="9238"/>
    <col width="6.85546875" customWidth="1" style="43" min="9239" max="9239"/>
    <col width="12.85546875" bestFit="1" customWidth="1" style="43" min="9240" max="9240"/>
    <col width="6.85546875" customWidth="1" style="43" min="9241" max="9473"/>
    <col width="5.7109375" customWidth="1" style="43" min="9474" max="9474"/>
    <col width="12.7109375" customWidth="1" style="43" min="9475" max="9475"/>
    <col width="10.7109375" customWidth="1" style="43" min="9476" max="9476"/>
    <col width="15.28515625" bestFit="1" customWidth="1" style="43" min="9477" max="9477"/>
    <col width="12.7109375" customWidth="1" style="43" min="9478" max="9478"/>
    <col width="11.7109375" customWidth="1" style="43" min="9479" max="9479"/>
    <col width="49.28515625" bestFit="1" customWidth="1" style="43" min="9480" max="9480"/>
    <col width="12.7109375" customWidth="1" style="43" min="9481" max="9482"/>
    <col width="13.5703125" bestFit="1" customWidth="1" style="43" min="9483" max="9484"/>
    <col width="17.7109375" bestFit="1" customWidth="1" style="43" min="9485" max="9485"/>
    <col width="12.7109375" customWidth="1" style="43" min="9486" max="9488"/>
    <col width="18.7109375" customWidth="1" style="43" min="9489" max="9489"/>
    <col width="12.7109375" customWidth="1" style="43" min="9490" max="9490"/>
    <col width="10.7109375" customWidth="1" style="43" min="9491" max="9491"/>
    <col width="9.85546875" bestFit="1" customWidth="1" style="43" min="9492" max="9492"/>
    <col width="12.42578125" bestFit="1" customWidth="1" style="43" min="9493" max="9493"/>
    <col width="13.140625" bestFit="1" customWidth="1" style="43" min="9494" max="9494"/>
    <col width="6.85546875" customWidth="1" style="43" min="9495" max="9495"/>
    <col width="12.85546875" bestFit="1" customWidth="1" style="43" min="9496" max="9496"/>
    <col width="6.85546875" customWidth="1" style="43" min="9497" max="9729"/>
    <col width="5.7109375" customWidth="1" style="43" min="9730" max="9730"/>
    <col width="12.7109375" customWidth="1" style="43" min="9731" max="9731"/>
    <col width="10.7109375" customWidth="1" style="43" min="9732" max="9732"/>
    <col width="15.28515625" bestFit="1" customWidth="1" style="43" min="9733" max="9733"/>
    <col width="12.7109375" customWidth="1" style="43" min="9734" max="9734"/>
    <col width="11.7109375" customWidth="1" style="43" min="9735" max="9735"/>
    <col width="49.28515625" bestFit="1" customWidth="1" style="43" min="9736" max="9736"/>
    <col width="12.7109375" customWidth="1" style="43" min="9737" max="9738"/>
    <col width="13.5703125" bestFit="1" customWidth="1" style="43" min="9739" max="9740"/>
    <col width="17.7109375" bestFit="1" customWidth="1" style="43" min="9741" max="9741"/>
    <col width="12.7109375" customWidth="1" style="43" min="9742" max="9744"/>
    <col width="18.7109375" customWidth="1" style="43" min="9745" max="9745"/>
    <col width="12.7109375" customWidth="1" style="43" min="9746" max="9746"/>
    <col width="10.7109375" customWidth="1" style="43" min="9747" max="9747"/>
    <col width="9.85546875" bestFit="1" customWidth="1" style="43" min="9748" max="9748"/>
    <col width="12.42578125" bestFit="1" customWidth="1" style="43" min="9749" max="9749"/>
    <col width="13.140625" bestFit="1" customWidth="1" style="43" min="9750" max="9750"/>
    <col width="6.85546875" customWidth="1" style="43" min="9751" max="9751"/>
    <col width="12.85546875" bestFit="1" customWidth="1" style="43" min="9752" max="9752"/>
    <col width="6.85546875" customWidth="1" style="43" min="9753" max="9985"/>
    <col width="5.7109375" customWidth="1" style="43" min="9986" max="9986"/>
    <col width="12.7109375" customWidth="1" style="43" min="9987" max="9987"/>
    <col width="10.7109375" customWidth="1" style="43" min="9988" max="9988"/>
    <col width="15.28515625" bestFit="1" customWidth="1" style="43" min="9989" max="9989"/>
    <col width="12.7109375" customWidth="1" style="43" min="9990" max="9990"/>
    <col width="11.7109375" customWidth="1" style="43" min="9991" max="9991"/>
    <col width="49.28515625" bestFit="1" customWidth="1" style="43" min="9992" max="9992"/>
    <col width="12.7109375" customWidth="1" style="43" min="9993" max="9994"/>
    <col width="13.5703125" bestFit="1" customWidth="1" style="43" min="9995" max="9996"/>
    <col width="17.7109375" bestFit="1" customWidth="1" style="43" min="9997" max="9997"/>
    <col width="12.7109375" customWidth="1" style="43" min="9998" max="10000"/>
    <col width="18.7109375" customWidth="1" style="43" min="10001" max="10001"/>
    <col width="12.7109375" customWidth="1" style="43" min="10002" max="10002"/>
    <col width="10.7109375" customWidth="1" style="43" min="10003" max="10003"/>
    <col width="9.85546875" bestFit="1" customWidth="1" style="43" min="10004" max="10004"/>
    <col width="12.42578125" bestFit="1" customWidth="1" style="43" min="10005" max="10005"/>
    <col width="13.140625" bestFit="1" customWidth="1" style="43" min="10006" max="10006"/>
    <col width="6.85546875" customWidth="1" style="43" min="10007" max="10007"/>
    <col width="12.85546875" bestFit="1" customWidth="1" style="43" min="10008" max="10008"/>
    <col width="6.85546875" customWidth="1" style="43" min="10009" max="10241"/>
    <col width="5.7109375" customWidth="1" style="43" min="10242" max="10242"/>
    <col width="12.7109375" customWidth="1" style="43" min="10243" max="10243"/>
    <col width="10.7109375" customWidth="1" style="43" min="10244" max="10244"/>
    <col width="15.28515625" bestFit="1" customWidth="1" style="43" min="10245" max="10245"/>
    <col width="12.7109375" customWidth="1" style="43" min="10246" max="10246"/>
    <col width="11.7109375" customWidth="1" style="43" min="10247" max="10247"/>
    <col width="49.28515625" bestFit="1" customWidth="1" style="43" min="10248" max="10248"/>
    <col width="12.7109375" customWidth="1" style="43" min="10249" max="10250"/>
    <col width="13.5703125" bestFit="1" customWidth="1" style="43" min="10251" max="10252"/>
    <col width="17.7109375" bestFit="1" customWidth="1" style="43" min="10253" max="10253"/>
    <col width="12.7109375" customWidth="1" style="43" min="10254" max="10256"/>
    <col width="18.7109375" customWidth="1" style="43" min="10257" max="10257"/>
    <col width="12.7109375" customWidth="1" style="43" min="10258" max="10258"/>
    <col width="10.7109375" customWidth="1" style="43" min="10259" max="10259"/>
    <col width="9.85546875" bestFit="1" customWidth="1" style="43" min="10260" max="10260"/>
    <col width="12.42578125" bestFit="1" customWidth="1" style="43" min="10261" max="10261"/>
    <col width="13.140625" bestFit="1" customWidth="1" style="43" min="10262" max="10262"/>
    <col width="6.85546875" customWidth="1" style="43" min="10263" max="10263"/>
    <col width="12.85546875" bestFit="1" customWidth="1" style="43" min="10264" max="10264"/>
    <col width="6.85546875" customWidth="1" style="43" min="10265" max="10497"/>
    <col width="5.7109375" customWidth="1" style="43" min="10498" max="10498"/>
    <col width="12.7109375" customWidth="1" style="43" min="10499" max="10499"/>
    <col width="10.7109375" customWidth="1" style="43" min="10500" max="10500"/>
    <col width="15.28515625" bestFit="1" customWidth="1" style="43" min="10501" max="10501"/>
    <col width="12.7109375" customWidth="1" style="43" min="10502" max="10502"/>
    <col width="11.7109375" customWidth="1" style="43" min="10503" max="10503"/>
    <col width="49.28515625" bestFit="1" customWidth="1" style="43" min="10504" max="10504"/>
    <col width="12.7109375" customWidth="1" style="43" min="10505" max="10506"/>
    <col width="13.5703125" bestFit="1" customWidth="1" style="43" min="10507" max="10508"/>
    <col width="17.7109375" bestFit="1" customWidth="1" style="43" min="10509" max="10509"/>
    <col width="12.7109375" customWidth="1" style="43" min="10510" max="10512"/>
    <col width="18.7109375" customWidth="1" style="43" min="10513" max="10513"/>
    <col width="12.7109375" customWidth="1" style="43" min="10514" max="10514"/>
    <col width="10.7109375" customWidth="1" style="43" min="10515" max="10515"/>
    <col width="9.85546875" bestFit="1" customWidth="1" style="43" min="10516" max="10516"/>
    <col width="12.42578125" bestFit="1" customWidth="1" style="43" min="10517" max="10517"/>
    <col width="13.140625" bestFit="1" customWidth="1" style="43" min="10518" max="10518"/>
    <col width="6.85546875" customWidth="1" style="43" min="10519" max="10519"/>
    <col width="12.85546875" bestFit="1" customWidth="1" style="43" min="10520" max="10520"/>
    <col width="6.85546875" customWidth="1" style="43" min="10521" max="10753"/>
    <col width="5.7109375" customWidth="1" style="43" min="10754" max="10754"/>
    <col width="12.7109375" customWidth="1" style="43" min="10755" max="10755"/>
    <col width="10.7109375" customWidth="1" style="43" min="10756" max="10756"/>
    <col width="15.28515625" bestFit="1" customWidth="1" style="43" min="10757" max="10757"/>
    <col width="12.7109375" customWidth="1" style="43" min="10758" max="10758"/>
    <col width="11.7109375" customWidth="1" style="43" min="10759" max="10759"/>
    <col width="49.28515625" bestFit="1" customWidth="1" style="43" min="10760" max="10760"/>
    <col width="12.7109375" customWidth="1" style="43" min="10761" max="10762"/>
    <col width="13.5703125" bestFit="1" customWidth="1" style="43" min="10763" max="10764"/>
    <col width="17.7109375" bestFit="1" customWidth="1" style="43" min="10765" max="10765"/>
    <col width="12.7109375" customWidth="1" style="43" min="10766" max="10768"/>
    <col width="18.7109375" customWidth="1" style="43" min="10769" max="10769"/>
    <col width="12.7109375" customWidth="1" style="43" min="10770" max="10770"/>
    <col width="10.7109375" customWidth="1" style="43" min="10771" max="10771"/>
    <col width="9.85546875" bestFit="1" customWidth="1" style="43" min="10772" max="10772"/>
    <col width="12.42578125" bestFit="1" customWidth="1" style="43" min="10773" max="10773"/>
    <col width="13.140625" bestFit="1" customWidth="1" style="43" min="10774" max="10774"/>
    <col width="6.85546875" customWidth="1" style="43" min="10775" max="10775"/>
    <col width="12.85546875" bestFit="1" customWidth="1" style="43" min="10776" max="10776"/>
    <col width="6.85546875" customWidth="1" style="43" min="10777" max="11009"/>
    <col width="5.7109375" customWidth="1" style="43" min="11010" max="11010"/>
    <col width="12.7109375" customWidth="1" style="43" min="11011" max="11011"/>
    <col width="10.7109375" customWidth="1" style="43" min="11012" max="11012"/>
    <col width="15.28515625" bestFit="1" customWidth="1" style="43" min="11013" max="11013"/>
    <col width="12.7109375" customWidth="1" style="43" min="11014" max="11014"/>
    <col width="11.7109375" customWidth="1" style="43" min="11015" max="11015"/>
    <col width="49.28515625" bestFit="1" customWidth="1" style="43" min="11016" max="11016"/>
    <col width="12.7109375" customWidth="1" style="43" min="11017" max="11018"/>
    <col width="13.5703125" bestFit="1" customWidth="1" style="43" min="11019" max="11020"/>
    <col width="17.7109375" bestFit="1" customWidth="1" style="43" min="11021" max="11021"/>
    <col width="12.7109375" customWidth="1" style="43" min="11022" max="11024"/>
    <col width="18.7109375" customWidth="1" style="43" min="11025" max="11025"/>
    <col width="12.7109375" customWidth="1" style="43" min="11026" max="11026"/>
    <col width="10.7109375" customWidth="1" style="43" min="11027" max="11027"/>
    <col width="9.85546875" bestFit="1" customWidth="1" style="43" min="11028" max="11028"/>
    <col width="12.42578125" bestFit="1" customWidth="1" style="43" min="11029" max="11029"/>
    <col width="13.140625" bestFit="1" customWidth="1" style="43" min="11030" max="11030"/>
    <col width="6.85546875" customWidth="1" style="43" min="11031" max="11031"/>
    <col width="12.85546875" bestFit="1" customWidth="1" style="43" min="11032" max="11032"/>
    <col width="6.85546875" customWidth="1" style="43" min="11033" max="11265"/>
    <col width="5.7109375" customWidth="1" style="43" min="11266" max="11266"/>
    <col width="12.7109375" customWidth="1" style="43" min="11267" max="11267"/>
    <col width="10.7109375" customWidth="1" style="43" min="11268" max="11268"/>
    <col width="15.28515625" bestFit="1" customWidth="1" style="43" min="11269" max="11269"/>
    <col width="12.7109375" customWidth="1" style="43" min="11270" max="11270"/>
    <col width="11.7109375" customWidth="1" style="43" min="11271" max="11271"/>
    <col width="49.28515625" bestFit="1" customWidth="1" style="43" min="11272" max="11272"/>
    <col width="12.7109375" customWidth="1" style="43" min="11273" max="11274"/>
    <col width="13.5703125" bestFit="1" customWidth="1" style="43" min="11275" max="11276"/>
    <col width="17.7109375" bestFit="1" customWidth="1" style="43" min="11277" max="11277"/>
    <col width="12.7109375" customWidth="1" style="43" min="11278" max="11280"/>
    <col width="18.7109375" customWidth="1" style="43" min="11281" max="11281"/>
    <col width="12.7109375" customWidth="1" style="43" min="11282" max="11282"/>
    <col width="10.7109375" customWidth="1" style="43" min="11283" max="11283"/>
    <col width="9.85546875" bestFit="1" customWidth="1" style="43" min="11284" max="11284"/>
    <col width="12.42578125" bestFit="1" customWidth="1" style="43" min="11285" max="11285"/>
    <col width="13.140625" bestFit="1" customWidth="1" style="43" min="11286" max="11286"/>
    <col width="6.85546875" customWidth="1" style="43" min="11287" max="11287"/>
    <col width="12.85546875" bestFit="1" customWidth="1" style="43" min="11288" max="11288"/>
    <col width="6.85546875" customWidth="1" style="43" min="11289" max="11521"/>
    <col width="5.7109375" customWidth="1" style="43" min="11522" max="11522"/>
    <col width="12.7109375" customWidth="1" style="43" min="11523" max="11523"/>
    <col width="10.7109375" customWidth="1" style="43" min="11524" max="11524"/>
    <col width="15.28515625" bestFit="1" customWidth="1" style="43" min="11525" max="11525"/>
    <col width="12.7109375" customWidth="1" style="43" min="11526" max="11526"/>
    <col width="11.7109375" customWidth="1" style="43" min="11527" max="11527"/>
    <col width="49.28515625" bestFit="1" customWidth="1" style="43" min="11528" max="11528"/>
    <col width="12.7109375" customWidth="1" style="43" min="11529" max="11530"/>
    <col width="13.5703125" bestFit="1" customWidth="1" style="43" min="11531" max="11532"/>
    <col width="17.7109375" bestFit="1" customWidth="1" style="43" min="11533" max="11533"/>
    <col width="12.7109375" customWidth="1" style="43" min="11534" max="11536"/>
    <col width="18.7109375" customWidth="1" style="43" min="11537" max="11537"/>
    <col width="12.7109375" customWidth="1" style="43" min="11538" max="11538"/>
    <col width="10.7109375" customWidth="1" style="43" min="11539" max="11539"/>
    <col width="9.85546875" bestFit="1" customWidth="1" style="43" min="11540" max="11540"/>
    <col width="12.42578125" bestFit="1" customWidth="1" style="43" min="11541" max="11541"/>
    <col width="13.140625" bestFit="1" customWidth="1" style="43" min="11542" max="11542"/>
    <col width="6.85546875" customWidth="1" style="43" min="11543" max="11543"/>
    <col width="12.85546875" bestFit="1" customWidth="1" style="43" min="11544" max="11544"/>
    <col width="6.85546875" customWidth="1" style="43" min="11545" max="11777"/>
    <col width="5.7109375" customWidth="1" style="43" min="11778" max="11778"/>
    <col width="12.7109375" customWidth="1" style="43" min="11779" max="11779"/>
    <col width="10.7109375" customWidth="1" style="43" min="11780" max="11780"/>
    <col width="15.28515625" bestFit="1" customWidth="1" style="43" min="11781" max="11781"/>
    <col width="12.7109375" customWidth="1" style="43" min="11782" max="11782"/>
    <col width="11.7109375" customWidth="1" style="43" min="11783" max="11783"/>
    <col width="49.28515625" bestFit="1" customWidth="1" style="43" min="11784" max="11784"/>
    <col width="12.7109375" customWidth="1" style="43" min="11785" max="11786"/>
    <col width="13.5703125" bestFit="1" customWidth="1" style="43" min="11787" max="11788"/>
    <col width="17.7109375" bestFit="1" customWidth="1" style="43" min="11789" max="11789"/>
    <col width="12.7109375" customWidth="1" style="43" min="11790" max="11792"/>
    <col width="18.7109375" customWidth="1" style="43" min="11793" max="11793"/>
    <col width="12.7109375" customWidth="1" style="43" min="11794" max="11794"/>
    <col width="10.7109375" customWidth="1" style="43" min="11795" max="11795"/>
    <col width="9.85546875" bestFit="1" customWidth="1" style="43" min="11796" max="11796"/>
    <col width="12.42578125" bestFit="1" customWidth="1" style="43" min="11797" max="11797"/>
    <col width="13.140625" bestFit="1" customWidth="1" style="43" min="11798" max="11798"/>
    <col width="6.85546875" customWidth="1" style="43" min="11799" max="11799"/>
    <col width="12.85546875" bestFit="1" customWidth="1" style="43" min="11800" max="11800"/>
    <col width="6.85546875" customWidth="1" style="43" min="11801" max="12033"/>
    <col width="5.7109375" customWidth="1" style="43" min="12034" max="12034"/>
    <col width="12.7109375" customWidth="1" style="43" min="12035" max="12035"/>
    <col width="10.7109375" customWidth="1" style="43" min="12036" max="12036"/>
    <col width="15.28515625" bestFit="1" customWidth="1" style="43" min="12037" max="12037"/>
    <col width="12.7109375" customWidth="1" style="43" min="12038" max="12038"/>
    <col width="11.7109375" customWidth="1" style="43" min="12039" max="12039"/>
    <col width="49.28515625" bestFit="1" customWidth="1" style="43" min="12040" max="12040"/>
    <col width="12.7109375" customWidth="1" style="43" min="12041" max="12042"/>
    <col width="13.5703125" bestFit="1" customWidth="1" style="43" min="12043" max="12044"/>
    <col width="17.7109375" bestFit="1" customWidth="1" style="43" min="12045" max="12045"/>
    <col width="12.7109375" customWidth="1" style="43" min="12046" max="12048"/>
    <col width="18.7109375" customWidth="1" style="43" min="12049" max="12049"/>
    <col width="12.7109375" customWidth="1" style="43" min="12050" max="12050"/>
    <col width="10.7109375" customWidth="1" style="43" min="12051" max="12051"/>
    <col width="9.85546875" bestFit="1" customWidth="1" style="43" min="12052" max="12052"/>
    <col width="12.42578125" bestFit="1" customWidth="1" style="43" min="12053" max="12053"/>
    <col width="13.140625" bestFit="1" customWidth="1" style="43" min="12054" max="12054"/>
    <col width="6.85546875" customWidth="1" style="43" min="12055" max="12055"/>
    <col width="12.85546875" bestFit="1" customWidth="1" style="43" min="12056" max="12056"/>
    <col width="6.85546875" customWidth="1" style="43" min="12057" max="12289"/>
    <col width="5.7109375" customWidth="1" style="43" min="12290" max="12290"/>
    <col width="12.7109375" customWidth="1" style="43" min="12291" max="12291"/>
    <col width="10.7109375" customWidth="1" style="43" min="12292" max="12292"/>
    <col width="15.28515625" bestFit="1" customWidth="1" style="43" min="12293" max="12293"/>
    <col width="12.7109375" customWidth="1" style="43" min="12294" max="12294"/>
    <col width="11.7109375" customWidth="1" style="43" min="12295" max="12295"/>
    <col width="49.28515625" bestFit="1" customWidth="1" style="43" min="12296" max="12296"/>
    <col width="12.7109375" customWidth="1" style="43" min="12297" max="12298"/>
    <col width="13.5703125" bestFit="1" customWidth="1" style="43" min="12299" max="12300"/>
    <col width="17.7109375" bestFit="1" customWidth="1" style="43" min="12301" max="12301"/>
    <col width="12.7109375" customWidth="1" style="43" min="12302" max="12304"/>
    <col width="18.7109375" customWidth="1" style="43" min="12305" max="12305"/>
    <col width="12.7109375" customWidth="1" style="43" min="12306" max="12306"/>
    <col width="10.7109375" customWidth="1" style="43" min="12307" max="12307"/>
    <col width="9.85546875" bestFit="1" customWidth="1" style="43" min="12308" max="12308"/>
    <col width="12.42578125" bestFit="1" customWidth="1" style="43" min="12309" max="12309"/>
    <col width="13.140625" bestFit="1" customWidth="1" style="43" min="12310" max="12310"/>
    <col width="6.85546875" customWidth="1" style="43" min="12311" max="12311"/>
    <col width="12.85546875" bestFit="1" customWidth="1" style="43" min="12312" max="12312"/>
    <col width="6.85546875" customWidth="1" style="43" min="12313" max="12545"/>
    <col width="5.7109375" customWidth="1" style="43" min="12546" max="12546"/>
    <col width="12.7109375" customWidth="1" style="43" min="12547" max="12547"/>
    <col width="10.7109375" customWidth="1" style="43" min="12548" max="12548"/>
    <col width="15.28515625" bestFit="1" customWidth="1" style="43" min="12549" max="12549"/>
    <col width="12.7109375" customWidth="1" style="43" min="12550" max="12550"/>
    <col width="11.7109375" customWidth="1" style="43" min="12551" max="12551"/>
    <col width="49.28515625" bestFit="1" customWidth="1" style="43" min="12552" max="12552"/>
    <col width="12.7109375" customWidth="1" style="43" min="12553" max="12554"/>
    <col width="13.5703125" bestFit="1" customWidth="1" style="43" min="12555" max="12556"/>
    <col width="17.7109375" bestFit="1" customWidth="1" style="43" min="12557" max="12557"/>
    <col width="12.7109375" customWidth="1" style="43" min="12558" max="12560"/>
    <col width="18.7109375" customWidth="1" style="43" min="12561" max="12561"/>
    <col width="12.7109375" customWidth="1" style="43" min="12562" max="12562"/>
    <col width="10.7109375" customWidth="1" style="43" min="12563" max="12563"/>
    <col width="9.85546875" bestFit="1" customWidth="1" style="43" min="12564" max="12564"/>
    <col width="12.42578125" bestFit="1" customWidth="1" style="43" min="12565" max="12565"/>
    <col width="13.140625" bestFit="1" customWidth="1" style="43" min="12566" max="12566"/>
    <col width="6.85546875" customWidth="1" style="43" min="12567" max="12567"/>
    <col width="12.85546875" bestFit="1" customWidth="1" style="43" min="12568" max="12568"/>
    <col width="6.85546875" customWidth="1" style="43" min="12569" max="12801"/>
    <col width="5.7109375" customWidth="1" style="43" min="12802" max="12802"/>
    <col width="12.7109375" customWidth="1" style="43" min="12803" max="12803"/>
    <col width="10.7109375" customWidth="1" style="43" min="12804" max="12804"/>
    <col width="15.28515625" bestFit="1" customWidth="1" style="43" min="12805" max="12805"/>
    <col width="12.7109375" customWidth="1" style="43" min="12806" max="12806"/>
    <col width="11.7109375" customWidth="1" style="43" min="12807" max="12807"/>
    <col width="49.28515625" bestFit="1" customWidth="1" style="43" min="12808" max="12808"/>
    <col width="12.7109375" customWidth="1" style="43" min="12809" max="12810"/>
    <col width="13.5703125" bestFit="1" customWidth="1" style="43" min="12811" max="12812"/>
    <col width="17.7109375" bestFit="1" customWidth="1" style="43" min="12813" max="12813"/>
    <col width="12.7109375" customWidth="1" style="43" min="12814" max="12816"/>
    <col width="18.7109375" customWidth="1" style="43" min="12817" max="12817"/>
    <col width="12.7109375" customWidth="1" style="43" min="12818" max="12818"/>
    <col width="10.7109375" customWidth="1" style="43" min="12819" max="12819"/>
    <col width="9.85546875" bestFit="1" customWidth="1" style="43" min="12820" max="12820"/>
    <col width="12.42578125" bestFit="1" customWidth="1" style="43" min="12821" max="12821"/>
    <col width="13.140625" bestFit="1" customWidth="1" style="43" min="12822" max="12822"/>
    <col width="6.85546875" customWidth="1" style="43" min="12823" max="12823"/>
    <col width="12.85546875" bestFit="1" customWidth="1" style="43" min="12824" max="12824"/>
    <col width="6.85546875" customWidth="1" style="43" min="12825" max="13057"/>
    <col width="5.7109375" customWidth="1" style="43" min="13058" max="13058"/>
    <col width="12.7109375" customWidth="1" style="43" min="13059" max="13059"/>
    <col width="10.7109375" customWidth="1" style="43" min="13060" max="13060"/>
    <col width="15.28515625" bestFit="1" customWidth="1" style="43" min="13061" max="13061"/>
    <col width="12.7109375" customWidth="1" style="43" min="13062" max="13062"/>
    <col width="11.7109375" customWidth="1" style="43" min="13063" max="13063"/>
    <col width="49.28515625" bestFit="1" customWidth="1" style="43" min="13064" max="13064"/>
    <col width="12.7109375" customWidth="1" style="43" min="13065" max="13066"/>
    <col width="13.5703125" bestFit="1" customWidth="1" style="43" min="13067" max="13068"/>
    <col width="17.7109375" bestFit="1" customWidth="1" style="43" min="13069" max="13069"/>
    <col width="12.7109375" customWidth="1" style="43" min="13070" max="13072"/>
    <col width="18.7109375" customWidth="1" style="43" min="13073" max="13073"/>
    <col width="12.7109375" customWidth="1" style="43" min="13074" max="13074"/>
    <col width="10.7109375" customWidth="1" style="43" min="13075" max="13075"/>
    <col width="9.85546875" bestFit="1" customWidth="1" style="43" min="13076" max="13076"/>
    <col width="12.42578125" bestFit="1" customWidth="1" style="43" min="13077" max="13077"/>
    <col width="13.140625" bestFit="1" customWidth="1" style="43" min="13078" max="13078"/>
    <col width="6.85546875" customWidth="1" style="43" min="13079" max="13079"/>
    <col width="12.85546875" bestFit="1" customWidth="1" style="43" min="13080" max="13080"/>
    <col width="6.85546875" customWidth="1" style="43" min="13081" max="13313"/>
    <col width="5.7109375" customWidth="1" style="43" min="13314" max="13314"/>
    <col width="12.7109375" customWidth="1" style="43" min="13315" max="13315"/>
    <col width="10.7109375" customWidth="1" style="43" min="13316" max="13316"/>
    <col width="15.28515625" bestFit="1" customWidth="1" style="43" min="13317" max="13317"/>
    <col width="12.7109375" customWidth="1" style="43" min="13318" max="13318"/>
    <col width="11.7109375" customWidth="1" style="43" min="13319" max="13319"/>
    <col width="49.28515625" bestFit="1" customWidth="1" style="43" min="13320" max="13320"/>
    <col width="12.7109375" customWidth="1" style="43" min="13321" max="13322"/>
    <col width="13.5703125" bestFit="1" customWidth="1" style="43" min="13323" max="13324"/>
    <col width="17.7109375" bestFit="1" customWidth="1" style="43" min="13325" max="13325"/>
    <col width="12.7109375" customWidth="1" style="43" min="13326" max="13328"/>
    <col width="18.7109375" customWidth="1" style="43" min="13329" max="13329"/>
    <col width="12.7109375" customWidth="1" style="43" min="13330" max="13330"/>
    <col width="10.7109375" customWidth="1" style="43" min="13331" max="13331"/>
    <col width="9.85546875" bestFit="1" customWidth="1" style="43" min="13332" max="13332"/>
    <col width="12.42578125" bestFit="1" customWidth="1" style="43" min="13333" max="13333"/>
    <col width="13.140625" bestFit="1" customWidth="1" style="43" min="13334" max="13334"/>
    <col width="6.85546875" customWidth="1" style="43" min="13335" max="13335"/>
    <col width="12.85546875" bestFit="1" customWidth="1" style="43" min="13336" max="13336"/>
    <col width="6.85546875" customWidth="1" style="43" min="13337" max="13569"/>
    <col width="5.7109375" customWidth="1" style="43" min="13570" max="13570"/>
    <col width="12.7109375" customWidth="1" style="43" min="13571" max="13571"/>
    <col width="10.7109375" customWidth="1" style="43" min="13572" max="13572"/>
    <col width="15.28515625" bestFit="1" customWidth="1" style="43" min="13573" max="13573"/>
    <col width="12.7109375" customWidth="1" style="43" min="13574" max="13574"/>
    <col width="11.7109375" customWidth="1" style="43" min="13575" max="13575"/>
    <col width="49.28515625" bestFit="1" customWidth="1" style="43" min="13576" max="13576"/>
    <col width="12.7109375" customWidth="1" style="43" min="13577" max="13578"/>
    <col width="13.5703125" bestFit="1" customWidth="1" style="43" min="13579" max="13580"/>
    <col width="17.7109375" bestFit="1" customWidth="1" style="43" min="13581" max="13581"/>
    <col width="12.7109375" customWidth="1" style="43" min="13582" max="13584"/>
    <col width="18.7109375" customWidth="1" style="43" min="13585" max="13585"/>
    <col width="12.7109375" customWidth="1" style="43" min="13586" max="13586"/>
    <col width="10.7109375" customWidth="1" style="43" min="13587" max="13587"/>
    <col width="9.85546875" bestFit="1" customWidth="1" style="43" min="13588" max="13588"/>
    <col width="12.42578125" bestFit="1" customWidth="1" style="43" min="13589" max="13589"/>
    <col width="13.140625" bestFit="1" customWidth="1" style="43" min="13590" max="13590"/>
    <col width="6.85546875" customWidth="1" style="43" min="13591" max="13591"/>
    <col width="12.85546875" bestFit="1" customWidth="1" style="43" min="13592" max="13592"/>
    <col width="6.85546875" customWidth="1" style="43" min="13593" max="13825"/>
    <col width="5.7109375" customWidth="1" style="43" min="13826" max="13826"/>
    <col width="12.7109375" customWidth="1" style="43" min="13827" max="13827"/>
    <col width="10.7109375" customWidth="1" style="43" min="13828" max="13828"/>
    <col width="15.28515625" bestFit="1" customWidth="1" style="43" min="13829" max="13829"/>
    <col width="12.7109375" customWidth="1" style="43" min="13830" max="13830"/>
    <col width="11.7109375" customWidth="1" style="43" min="13831" max="13831"/>
    <col width="49.28515625" bestFit="1" customWidth="1" style="43" min="13832" max="13832"/>
    <col width="12.7109375" customWidth="1" style="43" min="13833" max="13834"/>
    <col width="13.5703125" bestFit="1" customWidth="1" style="43" min="13835" max="13836"/>
    <col width="17.7109375" bestFit="1" customWidth="1" style="43" min="13837" max="13837"/>
    <col width="12.7109375" customWidth="1" style="43" min="13838" max="13840"/>
    <col width="18.7109375" customWidth="1" style="43" min="13841" max="13841"/>
    <col width="12.7109375" customWidth="1" style="43" min="13842" max="13842"/>
    <col width="10.7109375" customWidth="1" style="43" min="13843" max="13843"/>
    <col width="9.85546875" bestFit="1" customWidth="1" style="43" min="13844" max="13844"/>
    <col width="12.42578125" bestFit="1" customWidth="1" style="43" min="13845" max="13845"/>
    <col width="13.140625" bestFit="1" customWidth="1" style="43" min="13846" max="13846"/>
    <col width="6.85546875" customWidth="1" style="43" min="13847" max="13847"/>
    <col width="12.85546875" bestFit="1" customWidth="1" style="43" min="13848" max="13848"/>
    <col width="6.85546875" customWidth="1" style="43" min="13849" max="14081"/>
    <col width="5.7109375" customWidth="1" style="43" min="14082" max="14082"/>
    <col width="12.7109375" customWidth="1" style="43" min="14083" max="14083"/>
    <col width="10.7109375" customWidth="1" style="43" min="14084" max="14084"/>
    <col width="15.28515625" bestFit="1" customWidth="1" style="43" min="14085" max="14085"/>
    <col width="12.7109375" customWidth="1" style="43" min="14086" max="14086"/>
    <col width="11.7109375" customWidth="1" style="43" min="14087" max="14087"/>
    <col width="49.28515625" bestFit="1" customWidth="1" style="43" min="14088" max="14088"/>
    <col width="12.7109375" customWidth="1" style="43" min="14089" max="14090"/>
    <col width="13.5703125" bestFit="1" customWidth="1" style="43" min="14091" max="14092"/>
    <col width="17.7109375" bestFit="1" customWidth="1" style="43" min="14093" max="14093"/>
    <col width="12.7109375" customWidth="1" style="43" min="14094" max="14096"/>
    <col width="18.7109375" customWidth="1" style="43" min="14097" max="14097"/>
    <col width="12.7109375" customWidth="1" style="43" min="14098" max="14098"/>
    <col width="10.7109375" customWidth="1" style="43" min="14099" max="14099"/>
    <col width="9.85546875" bestFit="1" customWidth="1" style="43" min="14100" max="14100"/>
    <col width="12.42578125" bestFit="1" customWidth="1" style="43" min="14101" max="14101"/>
    <col width="13.140625" bestFit="1" customWidth="1" style="43" min="14102" max="14102"/>
    <col width="6.85546875" customWidth="1" style="43" min="14103" max="14103"/>
    <col width="12.85546875" bestFit="1" customWidth="1" style="43" min="14104" max="14104"/>
    <col width="6.85546875" customWidth="1" style="43" min="14105" max="14337"/>
    <col width="5.7109375" customWidth="1" style="43" min="14338" max="14338"/>
    <col width="12.7109375" customWidth="1" style="43" min="14339" max="14339"/>
    <col width="10.7109375" customWidth="1" style="43" min="14340" max="14340"/>
    <col width="15.28515625" bestFit="1" customWidth="1" style="43" min="14341" max="14341"/>
    <col width="12.7109375" customWidth="1" style="43" min="14342" max="14342"/>
    <col width="11.7109375" customWidth="1" style="43" min="14343" max="14343"/>
    <col width="49.28515625" bestFit="1" customWidth="1" style="43" min="14344" max="14344"/>
    <col width="12.7109375" customWidth="1" style="43" min="14345" max="14346"/>
    <col width="13.5703125" bestFit="1" customWidth="1" style="43" min="14347" max="14348"/>
    <col width="17.7109375" bestFit="1" customWidth="1" style="43" min="14349" max="14349"/>
    <col width="12.7109375" customWidth="1" style="43" min="14350" max="14352"/>
    <col width="18.7109375" customWidth="1" style="43" min="14353" max="14353"/>
    <col width="12.7109375" customWidth="1" style="43" min="14354" max="14354"/>
    <col width="10.7109375" customWidth="1" style="43" min="14355" max="14355"/>
    <col width="9.85546875" bestFit="1" customWidth="1" style="43" min="14356" max="14356"/>
    <col width="12.42578125" bestFit="1" customWidth="1" style="43" min="14357" max="14357"/>
    <col width="13.140625" bestFit="1" customWidth="1" style="43" min="14358" max="14358"/>
    <col width="6.85546875" customWidth="1" style="43" min="14359" max="14359"/>
    <col width="12.85546875" bestFit="1" customWidth="1" style="43" min="14360" max="14360"/>
    <col width="6.85546875" customWidth="1" style="43" min="14361" max="14593"/>
    <col width="5.7109375" customWidth="1" style="43" min="14594" max="14594"/>
    <col width="12.7109375" customWidth="1" style="43" min="14595" max="14595"/>
    <col width="10.7109375" customWidth="1" style="43" min="14596" max="14596"/>
    <col width="15.28515625" bestFit="1" customWidth="1" style="43" min="14597" max="14597"/>
    <col width="12.7109375" customWidth="1" style="43" min="14598" max="14598"/>
    <col width="11.7109375" customWidth="1" style="43" min="14599" max="14599"/>
    <col width="49.28515625" bestFit="1" customWidth="1" style="43" min="14600" max="14600"/>
    <col width="12.7109375" customWidth="1" style="43" min="14601" max="14602"/>
    <col width="13.5703125" bestFit="1" customWidth="1" style="43" min="14603" max="14604"/>
    <col width="17.7109375" bestFit="1" customWidth="1" style="43" min="14605" max="14605"/>
    <col width="12.7109375" customWidth="1" style="43" min="14606" max="14608"/>
    <col width="18.7109375" customWidth="1" style="43" min="14609" max="14609"/>
    <col width="12.7109375" customWidth="1" style="43" min="14610" max="14610"/>
    <col width="10.7109375" customWidth="1" style="43" min="14611" max="14611"/>
    <col width="9.85546875" bestFit="1" customWidth="1" style="43" min="14612" max="14612"/>
    <col width="12.42578125" bestFit="1" customWidth="1" style="43" min="14613" max="14613"/>
    <col width="13.140625" bestFit="1" customWidth="1" style="43" min="14614" max="14614"/>
    <col width="6.85546875" customWidth="1" style="43" min="14615" max="14615"/>
    <col width="12.85546875" bestFit="1" customWidth="1" style="43" min="14616" max="14616"/>
    <col width="6.85546875" customWidth="1" style="43" min="14617" max="14849"/>
    <col width="5.7109375" customWidth="1" style="43" min="14850" max="14850"/>
    <col width="12.7109375" customWidth="1" style="43" min="14851" max="14851"/>
    <col width="10.7109375" customWidth="1" style="43" min="14852" max="14852"/>
    <col width="15.28515625" bestFit="1" customWidth="1" style="43" min="14853" max="14853"/>
    <col width="12.7109375" customWidth="1" style="43" min="14854" max="14854"/>
    <col width="11.7109375" customWidth="1" style="43" min="14855" max="14855"/>
    <col width="49.28515625" bestFit="1" customWidth="1" style="43" min="14856" max="14856"/>
    <col width="12.7109375" customWidth="1" style="43" min="14857" max="14858"/>
    <col width="13.5703125" bestFit="1" customWidth="1" style="43" min="14859" max="14860"/>
    <col width="17.7109375" bestFit="1" customWidth="1" style="43" min="14861" max="14861"/>
    <col width="12.7109375" customWidth="1" style="43" min="14862" max="14864"/>
    <col width="18.7109375" customWidth="1" style="43" min="14865" max="14865"/>
    <col width="12.7109375" customWidth="1" style="43" min="14866" max="14866"/>
    <col width="10.7109375" customWidth="1" style="43" min="14867" max="14867"/>
    <col width="9.85546875" bestFit="1" customWidth="1" style="43" min="14868" max="14868"/>
    <col width="12.42578125" bestFit="1" customWidth="1" style="43" min="14869" max="14869"/>
    <col width="13.140625" bestFit="1" customWidth="1" style="43" min="14870" max="14870"/>
    <col width="6.85546875" customWidth="1" style="43" min="14871" max="14871"/>
    <col width="12.85546875" bestFit="1" customWidth="1" style="43" min="14872" max="14872"/>
    <col width="6.85546875" customWidth="1" style="43" min="14873" max="15105"/>
    <col width="5.7109375" customWidth="1" style="43" min="15106" max="15106"/>
    <col width="12.7109375" customWidth="1" style="43" min="15107" max="15107"/>
    <col width="10.7109375" customWidth="1" style="43" min="15108" max="15108"/>
    <col width="15.28515625" bestFit="1" customWidth="1" style="43" min="15109" max="15109"/>
    <col width="12.7109375" customWidth="1" style="43" min="15110" max="15110"/>
    <col width="11.7109375" customWidth="1" style="43" min="15111" max="15111"/>
    <col width="49.28515625" bestFit="1" customWidth="1" style="43" min="15112" max="15112"/>
    <col width="12.7109375" customWidth="1" style="43" min="15113" max="15114"/>
    <col width="13.5703125" bestFit="1" customWidth="1" style="43" min="15115" max="15116"/>
    <col width="17.7109375" bestFit="1" customWidth="1" style="43" min="15117" max="15117"/>
    <col width="12.7109375" customWidth="1" style="43" min="15118" max="15120"/>
    <col width="18.7109375" customWidth="1" style="43" min="15121" max="15121"/>
    <col width="12.7109375" customWidth="1" style="43" min="15122" max="15122"/>
    <col width="10.7109375" customWidth="1" style="43" min="15123" max="15123"/>
    <col width="9.85546875" bestFit="1" customWidth="1" style="43" min="15124" max="15124"/>
    <col width="12.42578125" bestFit="1" customWidth="1" style="43" min="15125" max="15125"/>
    <col width="13.140625" bestFit="1" customWidth="1" style="43" min="15126" max="15126"/>
    <col width="6.85546875" customWidth="1" style="43" min="15127" max="15127"/>
    <col width="12.85546875" bestFit="1" customWidth="1" style="43" min="15128" max="15128"/>
    <col width="6.85546875" customWidth="1" style="43" min="15129" max="15361"/>
    <col width="5.7109375" customWidth="1" style="43" min="15362" max="15362"/>
    <col width="12.7109375" customWidth="1" style="43" min="15363" max="15363"/>
    <col width="10.7109375" customWidth="1" style="43" min="15364" max="15364"/>
    <col width="15.28515625" bestFit="1" customWidth="1" style="43" min="15365" max="15365"/>
    <col width="12.7109375" customWidth="1" style="43" min="15366" max="15366"/>
    <col width="11.7109375" customWidth="1" style="43" min="15367" max="15367"/>
    <col width="49.28515625" bestFit="1" customWidth="1" style="43" min="15368" max="15368"/>
    <col width="12.7109375" customWidth="1" style="43" min="15369" max="15370"/>
    <col width="13.5703125" bestFit="1" customWidth="1" style="43" min="15371" max="15372"/>
    <col width="17.7109375" bestFit="1" customWidth="1" style="43" min="15373" max="15373"/>
    <col width="12.7109375" customWidth="1" style="43" min="15374" max="15376"/>
    <col width="18.7109375" customWidth="1" style="43" min="15377" max="15377"/>
    <col width="12.7109375" customWidth="1" style="43" min="15378" max="15378"/>
    <col width="10.7109375" customWidth="1" style="43" min="15379" max="15379"/>
    <col width="9.85546875" bestFit="1" customWidth="1" style="43" min="15380" max="15380"/>
    <col width="12.42578125" bestFit="1" customWidth="1" style="43" min="15381" max="15381"/>
    <col width="13.140625" bestFit="1" customWidth="1" style="43" min="15382" max="15382"/>
    <col width="6.85546875" customWidth="1" style="43" min="15383" max="15383"/>
    <col width="12.85546875" bestFit="1" customWidth="1" style="43" min="15384" max="15384"/>
    <col width="6.85546875" customWidth="1" style="43" min="15385" max="15617"/>
    <col width="5.7109375" customWidth="1" style="43" min="15618" max="15618"/>
    <col width="12.7109375" customWidth="1" style="43" min="15619" max="15619"/>
    <col width="10.7109375" customWidth="1" style="43" min="15620" max="15620"/>
    <col width="15.28515625" bestFit="1" customWidth="1" style="43" min="15621" max="15621"/>
    <col width="12.7109375" customWidth="1" style="43" min="15622" max="15622"/>
    <col width="11.7109375" customWidth="1" style="43" min="15623" max="15623"/>
    <col width="49.28515625" bestFit="1" customWidth="1" style="43" min="15624" max="15624"/>
    <col width="12.7109375" customWidth="1" style="43" min="15625" max="15626"/>
    <col width="13.5703125" bestFit="1" customWidth="1" style="43" min="15627" max="15628"/>
    <col width="17.7109375" bestFit="1" customWidth="1" style="43" min="15629" max="15629"/>
    <col width="12.7109375" customWidth="1" style="43" min="15630" max="15632"/>
    <col width="18.7109375" customWidth="1" style="43" min="15633" max="15633"/>
    <col width="12.7109375" customWidth="1" style="43" min="15634" max="15634"/>
    <col width="10.7109375" customWidth="1" style="43" min="15635" max="15635"/>
    <col width="9.85546875" bestFit="1" customWidth="1" style="43" min="15636" max="15636"/>
    <col width="12.42578125" bestFit="1" customWidth="1" style="43" min="15637" max="15637"/>
    <col width="13.140625" bestFit="1" customWidth="1" style="43" min="15638" max="15638"/>
    <col width="6.85546875" customWidth="1" style="43" min="15639" max="15639"/>
    <col width="12.85546875" bestFit="1" customWidth="1" style="43" min="15640" max="15640"/>
    <col width="6.85546875" customWidth="1" style="43" min="15641" max="15873"/>
    <col width="5.7109375" customWidth="1" style="43" min="15874" max="15874"/>
    <col width="12.7109375" customWidth="1" style="43" min="15875" max="15875"/>
    <col width="10.7109375" customWidth="1" style="43" min="15876" max="15876"/>
    <col width="15.28515625" bestFit="1" customWidth="1" style="43" min="15877" max="15877"/>
    <col width="12.7109375" customWidth="1" style="43" min="15878" max="15878"/>
    <col width="11.7109375" customWidth="1" style="43" min="15879" max="15879"/>
    <col width="49.28515625" bestFit="1" customWidth="1" style="43" min="15880" max="15880"/>
    <col width="12.7109375" customWidth="1" style="43" min="15881" max="15882"/>
    <col width="13.5703125" bestFit="1" customWidth="1" style="43" min="15883" max="15884"/>
    <col width="17.7109375" bestFit="1" customWidth="1" style="43" min="15885" max="15885"/>
    <col width="12.7109375" customWidth="1" style="43" min="15886" max="15888"/>
    <col width="18.7109375" customWidth="1" style="43" min="15889" max="15889"/>
    <col width="12.7109375" customWidth="1" style="43" min="15890" max="15890"/>
    <col width="10.7109375" customWidth="1" style="43" min="15891" max="15891"/>
    <col width="9.85546875" bestFit="1" customWidth="1" style="43" min="15892" max="15892"/>
    <col width="12.42578125" bestFit="1" customWidth="1" style="43" min="15893" max="15893"/>
    <col width="13.140625" bestFit="1" customWidth="1" style="43" min="15894" max="15894"/>
    <col width="6.85546875" customWidth="1" style="43" min="15895" max="15895"/>
    <col width="12.85546875" bestFit="1" customWidth="1" style="43" min="15896" max="15896"/>
    <col width="6.85546875" customWidth="1" style="43" min="15897" max="16129"/>
    <col width="5.7109375" customWidth="1" style="43" min="16130" max="16130"/>
    <col width="12.7109375" customWidth="1" style="43" min="16131" max="16131"/>
    <col width="10.7109375" customWidth="1" style="43" min="16132" max="16132"/>
    <col width="15.28515625" bestFit="1" customWidth="1" style="43" min="16133" max="16133"/>
    <col width="12.7109375" customWidth="1" style="43" min="16134" max="16134"/>
    <col width="11.7109375" customWidth="1" style="43" min="16135" max="16135"/>
    <col width="49.28515625" bestFit="1" customWidth="1" style="43" min="16136" max="16136"/>
    <col width="12.7109375" customWidth="1" style="43" min="16137" max="16138"/>
    <col width="13.5703125" bestFit="1" customWidth="1" style="43" min="16139" max="16140"/>
    <col width="17.7109375" bestFit="1" customWidth="1" style="43" min="16141" max="16141"/>
    <col width="12.7109375" customWidth="1" style="43" min="16142" max="16144"/>
    <col width="18.7109375" customWidth="1" style="43" min="16145" max="16145"/>
    <col width="12.7109375" customWidth="1" style="43" min="16146" max="16146"/>
    <col width="10.7109375" customWidth="1" style="43" min="16147" max="16147"/>
    <col width="9.85546875" bestFit="1" customWidth="1" style="43" min="16148" max="16148"/>
    <col width="12.42578125" bestFit="1" customWidth="1" style="43" min="16149" max="16149"/>
    <col width="13.140625" bestFit="1" customWidth="1" style="43" min="16150" max="16150"/>
    <col width="6.85546875" customWidth="1" style="43" min="16151" max="16151"/>
    <col width="12.85546875" bestFit="1" customWidth="1" style="43" min="16152" max="16152"/>
    <col width="6.85546875" customWidth="1" style="43" min="16153" max="16384"/>
  </cols>
  <sheetData>
    <row r="1" ht="21" customFormat="1" customHeight="1" s="15">
      <c r="A1" s="1" t="inlineStr">
        <is>
          <t>NO</t>
        </is>
      </c>
      <c r="B1" s="2" t="inlineStr">
        <is>
          <t>Date</t>
        </is>
      </c>
      <c r="C1" s="3" t="inlineStr">
        <is>
          <t>Inv.No.</t>
        </is>
      </c>
      <c r="D1" s="1" t="inlineStr">
        <is>
          <t>Customer</t>
        </is>
      </c>
      <c r="E1" s="1" t="inlineStr">
        <is>
          <t>Item</t>
        </is>
      </c>
      <c r="F1" s="187" t="inlineStr">
        <is>
          <t>QTY</t>
        </is>
      </c>
      <c r="G1" s="188" t="inlineStr">
        <is>
          <t>Detail</t>
        </is>
      </c>
      <c r="H1" s="187" t="inlineStr">
        <is>
          <t>Amount</t>
        </is>
      </c>
      <c r="I1" s="187" t="inlineStr">
        <is>
          <t>Cur</t>
        </is>
      </c>
      <c r="J1" s="187" t="inlineStr">
        <is>
          <t>VAT</t>
        </is>
      </c>
      <c r="K1" s="187" t="inlineStr">
        <is>
          <t>FOB</t>
        </is>
      </c>
      <c r="L1" s="189" t="inlineStr">
        <is>
          <t>Vat Sale THB</t>
        </is>
      </c>
      <c r="M1" s="8" t="inlineStr">
        <is>
          <t>Project-BOI</t>
        </is>
      </c>
      <c r="N1" s="190" t="inlineStr">
        <is>
          <t>ผลต่าง</t>
        </is>
      </c>
      <c r="O1" s="10" t="inlineStr">
        <is>
          <t>ผลต่าง THB</t>
        </is>
      </c>
      <c r="P1" s="11" t="inlineStr">
        <is>
          <t>Export Entry</t>
        </is>
      </c>
      <c r="Q1" s="191" t="inlineStr">
        <is>
          <t>วันที่ใบขน</t>
        </is>
      </c>
      <c r="R1" s="191" t="inlineStr">
        <is>
          <t>วันที่ดึง Exchange rate date</t>
        </is>
      </c>
      <c r="S1" s="13" t="inlineStr">
        <is>
          <t>EX Rate</t>
        </is>
      </c>
      <c r="T1" s="13" t="n"/>
      <c r="U1" s="192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1" t="n"/>
      <c r="AY1" s="11" t="n"/>
      <c r="AZ1" s="11" t="n"/>
      <c r="BA1" s="11" t="n"/>
      <c r="BB1" s="11" t="n"/>
      <c r="BC1" s="11" t="n"/>
      <c r="BD1" s="11" t="n"/>
      <c r="BE1" s="11" t="n"/>
      <c r="BF1" s="11" t="n"/>
      <c r="BG1" s="11" t="n"/>
      <c r="BH1" s="11" t="n"/>
      <c r="BI1" s="11" t="n"/>
      <c r="BJ1" s="11" t="n"/>
      <c r="BK1" s="11" t="n"/>
      <c r="BL1" s="11" t="n"/>
      <c r="BM1" s="11" t="n"/>
      <c r="BN1" s="11" t="n"/>
      <c r="BO1" s="11" t="n"/>
      <c r="BP1" s="11" t="n"/>
      <c r="BQ1" s="11" t="n"/>
      <c r="BR1" s="11" t="n"/>
      <c r="BS1" s="11" t="n"/>
      <c r="BT1" s="11" t="n"/>
      <c r="BU1" s="11" t="n"/>
      <c r="BV1" s="11" t="n"/>
      <c r="BW1" s="11" t="n"/>
      <c r="BX1" s="11" t="n"/>
      <c r="BY1" s="11" t="n"/>
      <c r="BZ1" s="11" t="n"/>
      <c r="CA1" s="11" t="n"/>
      <c r="CB1" s="11" t="n"/>
      <c r="CC1" s="11" t="n"/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1" t="n"/>
      <c r="DI1" s="11" t="n"/>
      <c r="DJ1" s="11" t="n"/>
      <c r="DK1" s="11" t="n"/>
      <c r="DL1" s="11" t="n"/>
      <c r="DM1" s="11" t="n"/>
      <c r="DN1" s="11" t="n"/>
      <c r="DO1" s="11" t="n"/>
      <c r="DP1" s="11" t="n"/>
      <c r="DQ1" s="11" t="n"/>
      <c r="DR1" s="11" t="n"/>
      <c r="DS1" s="11" t="n"/>
      <c r="DT1" s="11" t="n"/>
      <c r="DU1" s="11" t="n"/>
      <c r="DV1" s="11" t="n"/>
      <c r="DW1" s="11" t="n"/>
      <c r="DX1" s="11" t="n"/>
      <c r="DY1" s="11" t="n"/>
      <c r="DZ1" s="11" t="n"/>
      <c r="EA1" s="11" t="n"/>
      <c r="EB1" s="11" t="n"/>
      <c r="EC1" s="11" t="n"/>
      <c r="ED1" s="11" t="n"/>
      <c r="EE1" s="11" t="n"/>
      <c r="EF1" s="11" t="n"/>
      <c r="EG1" s="11" t="n"/>
      <c r="EH1" s="11" t="n"/>
      <c r="EI1" s="11" t="n"/>
      <c r="EJ1" s="11" t="n"/>
      <c r="EK1" s="11" t="n"/>
      <c r="EL1" s="11" t="n"/>
      <c r="EM1" s="11" t="n"/>
      <c r="EN1" s="11" t="n"/>
      <c r="EO1" s="11" t="n"/>
      <c r="EP1" s="11" t="n"/>
      <c r="EQ1" s="11" t="n"/>
      <c r="ER1" s="11" t="n"/>
      <c r="ES1" s="11" t="n"/>
      <c r="ET1" s="11" t="n"/>
      <c r="EU1" s="11" t="n"/>
      <c r="EV1" s="11" t="n"/>
      <c r="EW1" s="11" t="n"/>
      <c r="EX1" s="11" t="n"/>
      <c r="EY1" s="11" t="n"/>
      <c r="EZ1" s="11" t="n"/>
      <c r="FA1" s="11" t="n"/>
      <c r="FB1" s="11" t="n"/>
      <c r="FC1" s="11" t="n"/>
      <c r="FD1" s="11" t="n"/>
      <c r="FE1" s="11" t="n"/>
      <c r="FF1" s="11" t="n"/>
      <c r="FG1" s="11" t="n"/>
      <c r="FH1" s="11" t="n"/>
      <c r="FI1" s="11" t="n"/>
      <c r="FJ1" s="11" t="n"/>
      <c r="FK1" s="11" t="n"/>
      <c r="FL1" s="11" t="n"/>
      <c r="FM1" s="11" t="n"/>
      <c r="FN1" s="11" t="n"/>
      <c r="FO1" s="11" t="n"/>
      <c r="FP1" s="11" t="n"/>
      <c r="FQ1" s="11" t="n"/>
      <c r="FR1" s="11" t="n"/>
      <c r="FS1" s="11" t="n"/>
      <c r="FT1" s="11" t="n"/>
      <c r="FU1" s="11" t="n"/>
      <c r="FV1" s="11" t="n"/>
      <c r="FW1" s="11" t="n"/>
      <c r="FX1" s="11" t="n"/>
      <c r="FY1" s="11" t="n"/>
      <c r="FZ1" s="11" t="n"/>
      <c r="GA1" s="11" t="n"/>
      <c r="GB1" s="11" t="n"/>
      <c r="GC1" s="11" t="n"/>
      <c r="GD1" s="11" t="n"/>
      <c r="GE1" s="11" t="n"/>
      <c r="GF1" s="11" t="n"/>
      <c r="GG1" s="11" t="n"/>
      <c r="GH1" s="11" t="n"/>
      <c r="GI1" s="11" t="n"/>
      <c r="GJ1" s="11" t="n"/>
      <c r="GK1" s="11" t="n"/>
      <c r="GL1" s="11" t="n"/>
      <c r="GM1" s="11" t="n"/>
      <c r="GN1" s="11" t="n"/>
      <c r="GO1" s="11" t="n"/>
      <c r="GP1" s="11" t="n"/>
      <c r="GQ1" s="11" t="n"/>
      <c r="GR1" s="11" t="n"/>
      <c r="GS1" s="11" t="n"/>
      <c r="GT1" s="11" t="n"/>
      <c r="GU1" s="11" t="n"/>
      <c r="GV1" s="11" t="n"/>
      <c r="GW1" s="11" t="n"/>
      <c r="GX1" s="11" t="n"/>
      <c r="GY1" s="11" t="n"/>
      <c r="GZ1" s="11" t="n"/>
      <c r="HA1" s="11" t="n"/>
      <c r="HB1" s="11" t="n"/>
      <c r="HC1" s="11" t="n"/>
      <c r="HD1" s="11" t="n"/>
      <c r="HE1" s="11" t="n"/>
      <c r="HF1" s="11" t="n"/>
      <c r="HG1" s="11" t="n"/>
      <c r="HH1" s="11" t="n"/>
      <c r="HI1" s="11" t="n"/>
      <c r="HJ1" s="11" t="n"/>
      <c r="HK1" s="11" t="n"/>
      <c r="HL1" s="11" t="n"/>
      <c r="HM1" s="11" t="n"/>
    </row>
    <row r="2" ht="21" customFormat="1" customHeight="1" s="15">
      <c r="A2" s="1" t="n"/>
      <c r="B2" s="16" t="n">
        <v>46042</v>
      </c>
      <c r="C2" s="17" t="inlineStr">
        <is>
          <t>S 120351</t>
        </is>
      </c>
      <c r="D2" s="18" t="inlineStr">
        <is>
          <t>SICK MALAY</t>
        </is>
      </c>
      <c r="E2" s="193" t="inlineStr">
        <is>
          <t>850-0086</t>
        </is>
      </c>
      <c r="F2" s="194" t="n">
        <v>2</v>
      </c>
      <c r="G2" s="195" t="inlineStr">
        <is>
          <t>By pass for Hot tank zone</t>
        </is>
      </c>
      <c r="H2" s="196" t="n">
        <v>720</v>
      </c>
      <c r="I2" s="196" t="inlineStr">
        <is>
          <t>USD</t>
        </is>
      </c>
      <c r="J2" s="196" t="n"/>
      <c r="K2" s="197" t="n">
        <v>720</v>
      </c>
      <c r="L2" s="198">
        <f>K2*S2</f>
        <v/>
      </c>
      <c r="M2" s="25" t="inlineStr">
        <is>
          <t>NONB</t>
        </is>
      </c>
      <c r="N2" s="199">
        <f>H2-K2</f>
        <v/>
      </c>
      <c r="O2" s="10" t="n"/>
      <c r="P2" s="11" t="inlineStr">
        <is>
          <t>A0051690215988</t>
        </is>
      </c>
      <c r="Q2" s="27" t="inlineStr">
        <is>
          <t>04 Feb 2026</t>
        </is>
      </c>
      <c r="R2" s="27" t="inlineStr">
        <is>
          <t>04 Feb 2026</t>
        </is>
      </c>
      <c r="S2" s="28" t="n">
        <v>31.7861</v>
      </c>
      <c r="T2" s="13" t="inlineStr">
        <is>
          <t>&lt;&lt; exchange rate ต้องใช้ ของวันที่ 3 feb</t>
        </is>
      </c>
      <c r="U2" s="192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1" t="n"/>
      <c r="BQ2" s="11" t="n"/>
      <c r="BR2" s="11" t="n"/>
      <c r="BS2" s="11" t="n"/>
      <c r="BT2" s="11" t="n"/>
      <c r="BU2" s="11" t="n"/>
      <c r="BV2" s="11" t="n"/>
      <c r="BW2" s="11" t="n"/>
      <c r="BX2" s="11" t="n"/>
      <c r="BY2" s="11" t="n"/>
      <c r="BZ2" s="11" t="n"/>
      <c r="CA2" s="11" t="n"/>
      <c r="CB2" s="11" t="n"/>
      <c r="CC2" s="11" t="n"/>
      <c r="CD2" s="11" t="n"/>
      <c r="CE2" s="11" t="n"/>
      <c r="CF2" s="11" t="n"/>
      <c r="CG2" s="11" t="n"/>
      <c r="CH2" s="11" t="n"/>
      <c r="CI2" s="11" t="n"/>
      <c r="CJ2" s="11" t="n"/>
      <c r="CK2" s="11" t="n"/>
      <c r="CL2" s="11" t="n"/>
      <c r="CM2" s="11" t="n"/>
      <c r="CN2" s="11" t="n"/>
      <c r="CO2" s="11" t="n"/>
      <c r="CP2" s="11" t="n"/>
      <c r="CQ2" s="11" t="n"/>
      <c r="CR2" s="11" t="n"/>
      <c r="CS2" s="11" t="n"/>
      <c r="CT2" s="11" t="n"/>
      <c r="CU2" s="11" t="n"/>
      <c r="CV2" s="11" t="n"/>
      <c r="CW2" s="11" t="n"/>
      <c r="CX2" s="11" t="n"/>
      <c r="CY2" s="11" t="n"/>
      <c r="CZ2" s="11" t="n"/>
      <c r="DA2" s="11" t="n"/>
      <c r="DB2" s="11" t="n"/>
      <c r="DC2" s="11" t="n"/>
      <c r="DD2" s="11" t="n"/>
      <c r="DE2" s="11" t="n"/>
      <c r="DF2" s="11" t="n"/>
      <c r="DG2" s="11" t="n"/>
      <c r="DH2" s="11" t="n"/>
      <c r="DI2" s="11" t="n"/>
      <c r="DJ2" s="11" t="n"/>
      <c r="DK2" s="11" t="n"/>
      <c r="DL2" s="11" t="n"/>
      <c r="DM2" s="11" t="n"/>
      <c r="DN2" s="11" t="n"/>
      <c r="DO2" s="11" t="n"/>
      <c r="DP2" s="11" t="n"/>
      <c r="DQ2" s="11" t="n"/>
      <c r="DR2" s="11" t="n"/>
      <c r="DS2" s="11" t="n"/>
      <c r="DT2" s="11" t="n"/>
      <c r="DU2" s="11" t="n"/>
      <c r="DV2" s="11" t="n"/>
      <c r="DW2" s="11" t="n"/>
      <c r="DX2" s="11" t="n"/>
      <c r="DY2" s="11" t="n"/>
      <c r="DZ2" s="11" t="n"/>
      <c r="EA2" s="11" t="n"/>
      <c r="EB2" s="11" t="n"/>
      <c r="EC2" s="11" t="n"/>
      <c r="ED2" s="11" t="n"/>
      <c r="EE2" s="11" t="n"/>
      <c r="EF2" s="11" t="n"/>
      <c r="EG2" s="11" t="n"/>
      <c r="EH2" s="11" t="n"/>
      <c r="EI2" s="11" t="n"/>
      <c r="EJ2" s="11" t="n"/>
      <c r="EK2" s="11" t="n"/>
      <c r="EL2" s="11" t="n"/>
      <c r="EM2" s="11" t="n"/>
      <c r="EN2" s="11" t="n"/>
      <c r="EO2" s="11" t="n"/>
      <c r="EP2" s="11" t="n"/>
      <c r="EQ2" s="11" t="n"/>
      <c r="ER2" s="11" t="n"/>
      <c r="ES2" s="11" t="n"/>
      <c r="ET2" s="11" t="n"/>
      <c r="EU2" s="11" t="n"/>
      <c r="EV2" s="11" t="n"/>
      <c r="EW2" s="11" t="n"/>
      <c r="EX2" s="11" t="n"/>
      <c r="EY2" s="11" t="n"/>
      <c r="EZ2" s="11" t="n"/>
      <c r="FA2" s="11" t="n"/>
      <c r="FB2" s="11" t="n"/>
      <c r="FC2" s="11" t="n"/>
      <c r="FD2" s="11" t="n"/>
      <c r="FE2" s="11" t="n"/>
      <c r="FF2" s="11" t="n"/>
      <c r="FG2" s="11" t="n"/>
      <c r="FH2" s="11" t="n"/>
      <c r="FI2" s="11" t="n"/>
      <c r="FJ2" s="11" t="n"/>
      <c r="FK2" s="11" t="n"/>
      <c r="FL2" s="11" t="n"/>
      <c r="FM2" s="11" t="n"/>
      <c r="FN2" s="11" t="n"/>
      <c r="FO2" s="11" t="n"/>
      <c r="FP2" s="11" t="n"/>
      <c r="FQ2" s="11" t="n"/>
      <c r="FR2" s="11" t="n"/>
      <c r="FS2" s="11" t="n"/>
      <c r="FT2" s="11" t="n"/>
      <c r="FU2" s="11" t="n"/>
      <c r="FV2" s="11" t="n"/>
      <c r="FW2" s="11" t="n"/>
      <c r="FX2" s="11" t="n"/>
      <c r="FY2" s="11" t="n"/>
      <c r="FZ2" s="11" t="n"/>
      <c r="GA2" s="11" t="n"/>
      <c r="GB2" s="11" t="n"/>
      <c r="GC2" s="11" t="n"/>
      <c r="GD2" s="11" t="n"/>
      <c r="GE2" s="11" t="n"/>
      <c r="GF2" s="11" t="n"/>
      <c r="GG2" s="11" t="n"/>
      <c r="GH2" s="11" t="n"/>
      <c r="GI2" s="11" t="n"/>
      <c r="GJ2" s="11" t="n"/>
      <c r="GK2" s="11" t="n"/>
      <c r="GL2" s="11" t="n"/>
      <c r="GM2" s="11" t="n"/>
      <c r="GN2" s="11" t="n"/>
      <c r="GO2" s="11" t="n"/>
      <c r="GP2" s="11" t="n"/>
      <c r="GQ2" s="11" t="n"/>
      <c r="GR2" s="11" t="n"/>
      <c r="GS2" s="11" t="n"/>
      <c r="GT2" s="11" t="n"/>
      <c r="GU2" s="11" t="n"/>
      <c r="GV2" s="11" t="n"/>
      <c r="GW2" s="11" t="n"/>
      <c r="GX2" s="11" t="n"/>
      <c r="GY2" s="11" t="n"/>
      <c r="GZ2" s="11" t="n"/>
      <c r="HA2" s="11" t="n"/>
      <c r="HB2" s="11" t="n"/>
      <c r="HC2" s="11" t="n"/>
      <c r="HD2" s="11" t="n"/>
      <c r="HE2" s="11" t="n"/>
      <c r="HF2" s="11" t="n"/>
      <c r="HG2" s="11" t="n"/>
      <c r="HH2" s="11" t="n"/>
      <c r="HI2" s="11" t="n"/>
      <c r="HJ2" s="11" t="n"/>
      <c r="HK2" s="11" t="n"/>
      <c r="HL2" s="11" t="n"/>
      <c r="HM2" s="11" t="n"/>
    </row>
    <row r="3">
      <c r="A3" s="29" t="n">
        <v>1</v>
      </c>
      <c r="B3" s="30" t="n">
        <v>46055</v>
      </c>
      <c r="C3" s="31" t="inlineStr">
        <is>
          <t>S 120371</t>
        </is>
      </c>
      <c r="D3" s="32" t="inlineStr">
        <is>
          <t>AUTORUN</t>
        </is>
      </c>
      <c r="E3" s="200" t="inlineStr">
        <is>
          <t>800-4119</t>
        </is>
      </c>
      <c r="F3" s="200" t="n">
        <v>51900</v>
      </c>
      <c r="G3" s="201" t="inlineStr">
        <is>
          <t>ANGLO bag 12"x15" with laminated tag</t>
        </is>
      </c>
      <c r="H3" s="202" t="n">
        <v>51900</v>
      </c>
      <c r="I3" s="202" t="inlineStr">
        <is>
          <t>USD</t>
        </is>
      </c>
      <c r="J3" s="202" t="n"/>
      <c r="K3" s="202" t="n">
        <v>51900</v>
      </c>
      <c r="L3" s="185">
        <f>K3*S3</f>
        <v/>
      </c>
      <c r="M3" s="38" t="inlineStr">
        <is>
          <t>SOLAR</t>
        </is>
      </c>
      <c r="N3" s="199">
        <f>H3-K3</f>
        <v/>
      </c>
      <c r="O3" s="203" t="n"/>
      <c r="P3" s="40" t="inlineStr">
        <is>
          <t>A0041690202626</t>
        </is>
      </c>
      <c r="Q3" s="27" t="inlineStr">
        <is>
          <t>03 Feb 2026</t>
        </is>
      </c>
      <c r="R3" s="27" t="inlineStr">
        <is>
          <t>03 Feb 2026</t>
        </is>
      </c>
      <c r="S3" s="28" t="n">
        <v>31.6643</v>
      </c>
      <c r="T3" s="41" t="n"/>
      <c r="U3" s="199" t="n"/>
      <c r="V3" s="204" t="n"/>
    </row>
    <row r="4">
      <c r="A4" s="29" t="n">
        <v>2</v>
      </c>
      <c r="B4" s="44" t="n">
        <v>46055</v>
      </c>
      <c r="C4" s="17" t="inlineStr">
        <is>
          <t>S 120372</t>
        </is>
      </c>
      <c r="D4" s="18" t="inlineStr">
        <is>
          <t>TKC PROGRE</t>
        </is>
      </c>
      <c r="E4" s="193" t="inlineStr">
        <is>
          <t>A-41010201</t>
        </is>
      </c>
      <c r="F4" s="193" t="n">
        <v>1</v>
      </c>
      <c r="G4" s="205" t="inlineStr">
        <is>
          <t>OTHER INCOME</t>
        </is>
      </c>
      <c r="H4" s="196" t="n">
        <v>22097.36</v>
      </c>
      <c r="I4" s="196" t="inlineStr">
        <is>
          <t>THB</t>
        </is>
      </c>
      <c r="J4" s="196">
        <f>L4*7/100</f>
        <v/>
      </c>
      <c r="K4" s="196" t="n"/>
      <c r="L4" s="198" t="n">
        <v>20651.74</v>
      </c>
      <c r="M4" s="47" t="inlineStr">
        <is>
          <t>NONB</t>
        </is>
      </c>
      <c r="N4" s="199">
        <f>H4-K4</f>
        <v/>
      </c>
      <c r="O4" s="203" t="n"/>
      <c r="P4" s="40" t="n"/>
      <c r="Q4" s="27" t="n"/>
      <c r="R4" s="27" t="inlineStr">
        <is>
          <t>5 Feb 2026</t>
        </is>
      </c>
      <c r="S4" s="28" t="n"/>
      <c r="T4" s="41" t="n"/>
      <c r="U4" s="199" t="n"/>
      <c r="V4" s="204" t="n"/>
    </row>
    <row r="5">
      <c r="A5" s="29" t="n">
        <v>3</v>
      </c>
      <c r="B5" s="44" t="n">
        <v>46055</v>
      </c>
      <c r="C5" s="17" t="inlineStr">
        <is>
          <t>S 120373</t>
        </is>
      </c>
      <c r="D5" s="18" t="inlineStr">
        <is>
          <t>UMT</t>
        </is>
      </c>
      <c r="E5" s="193" t="inlineStr">
        <is>
          <t>825-0720</t>
        </is>
      </c>
      <c r="F5" s="193" t="n">
        <v>1193</v>
      </c>
      <c r="G5" s="205" t="inlineStr">
        <is>
          <t>20005660-00</t>
        </is>
      </c>
      <c r="H5" s="196" t="n">
        <v>17537.1</v>
      </c>
      <c r="I5" s="196" t="inlineStr">
        <is>
          <t>USD</t>
        </is>
      </c>
      <c r="J5" s="196" t="n"/>
      <c r="K5" s="196" t="n">
        <v>17537.1</v>
      </c>
      <c r="L5" s="198">
        <f>K5*S5</f>
        <v/>
      </c>
      <c r="M5" s="47" t="inlineStr">
        <is>
          <t>SOLAR</t>
        </is>
      </c>
      <c r="N5" s="199">
        <f>H5-K5</f>
        <v/>
      </c>
      <c r="O5" s="203" t="n"/>
      <c r="P5" s="40" t="inlineStr">
        <is>
          <t>A0021690212496</t>
        </is>
      </c>
      <c r="Q5" s="27" t="inlineStr">
        <is>
          <t>30 Jan 2026</t>
        </is>
      </c>
      <c r="R5" s="27" t="inlineStr">
        <is>
          <t>30 Jan 2026</t>
        </is>
      </c>
      <c r="S5" s="28" t="n">
        <v>31.5106</v>
      </c>
      <c r="T5" s="41" t="n"/>
      <c r="U5" s="199" t="n"/>
      <c r="V5" s="204" t="n"/>
    </row>
    <row r="6">
      <c r="A6" s="29" t="n">
        <v>4</v>
      </c>
      <c r="B6" s="44" t="n">
        <v>46055</v>
      </c>
      <c r="C6" s="17" t="inlineStr">
        <is>
          <t>S 120373</t>
        </is>
      </c>
      <c r="D6" s="18" t="inlineStr">
        <is>
          <t>UMT</t>
        </is>
      </c>
      <c r="E6" s="193" t="inlineStr">
        <is>
          <t>825-0720</t>
        </is>
      </c>
      <c r="F6" s="193" t="n">
        <v>1702</v>
      </c>
      <c r="G6" s="205" t="inlineStr">
        <is>
          <t>20005660-00</t>
        </is>
      </c>
      <c r="H6" s="196" t="n">
        <v>25019.4</v>
      </c>
      <c r="I6" s="196" t="inlineStr">
        <is>
          <t>USD</t>
        </is>
      </c>
      <c r="J6" s="196" t="n"/>
      <c r="K6" s="196" t="n">
        <v>25019.4</v>
      </c>
      <c r="L6" s="198">
        <f>K6*S6</f>
        <v/>
      </c>
      <c r="M6" s="47" t="inlineStr">
        <is>
          <t>SOLAR</t>
        </is>
      </c>
      <c r="N6" s="199">
        <f>H6-K6</f>
        <v/>
      </c>
      <c r="O6" s="203" t="n"/>
      <c r="P6" s="40" t="inlineStr">
        <is>
          <t>A0021690212496</t>
        </is>
      </c>
      <c r="Q6" s="27" t="inlineStr">
        <is>
          <t>30 Jan 2026</t>
        </is>
      </c>
      <c r="R6" s="27" t="inlineStr">
        <is>
          <t>30 Jan 2026</t>
        </is>
      </c>
      <c r="S6" s="28" t="n">
        <v>31.5106</v>
      </c>
      <c r="T6" s="41" t="n"/>
      <c r="U6" s="199" t="n"/>
      <c r="V6" s="204" t="n"/>
    </row>
    <row r="7">
      <c r="A7" s="29" t="n">
        <v>5</v>
      </c>
      <c r="B7" s="44" t="n">
        <v>46055</v>
      </c>
      <c r="C7" s="17" t="inlineStr">
        <is>
          <t>S 120374</t>
        </is>
      </c>
      <c r="D7" s="18" t="inlineStr">
        <is>
          <t>UMT</t>
        </is>
      </c>
      <c r="E7" s="193" t="inlineStr">
        <is>
          <t>825-0719</t>
        </is>
      </c>
      <c r="F7" s="193" t="n">
        <v>1831</v>
      </c>
      <c r="G7" s="205" t="inlineStr">
        <is>
          <t>20005659-00</t>
        </is>
      </c>
      <c r="H7" s="196" t="n">
        <v>24718.5</v>
      </c>
      <c r="I7" s="196" t="inlineStr">
        <is>
          <t>USD</t>
        </is>
      </c>
      <c r="J7" s="196" t="n"/>
      <c r="K7" s="196" t="n">
        <v>24718.5</v>
      </c>
      <c r="L7" s="198">
        <f>K7*S7</f>
        <v/>
      </c>
      <c r="M7" s="47" t="inlineStr">
        <is>
          <t>SOLAR</t>
        </is>
      </c>
      <c r="N7" s="199">
        <f>H7-K7</f>
        <v/>
      </c>
      <c r="O7" s="203" t="n"/>
      <c r="P7" s="40" t="inlineStr">
        <is>
          <t>A0021690212496</t>
        </is>
      </c>
      <c r="Q7" s="27" t="inlineStr">
        <is>
          <t>30 Jan 2026</t>
        </is>
      </c>
      <c r="R7" s="27" t="inlineStr">
        <is>
          <t>30 Jan 2026</t>
        </is>
      </c>
      <c r="S7" s="28" t="n">
        <v>31.5106</v>
      </c>
      <c r="T7" s="41" t="n"/>
      <c r="U7" s="199" t="n"/>
      <c r="V7" s="204" t="n"/>
    </row>
    <row r="8">
      <c r="A8" s="29" t="n">
        <v>6</v>
      </c>
      <c r="B8" s="44" t="n">
        <v>46055</v>
      </c>
      <c r="C8" s="17" t="inlineStr">
        <is>
          <t>S 120375</t>
        </is>
      </c>
      <c r="D8" s="18" t="inlineStr">
        <is>
          <t>UMT</t>
        </is>
      </c>
      <c r="E8" s="193" t="inlineStr">
        <is>
          <t>825-0719</t>
        </is>
      </c>
      <c r="F8" s="193" t="n">
        <v>3000</v>
      </c>
      <c r="G8" s="205" t="inlineStr">
        <is>
          <t>20005659-00</t>
        </is>
      </c>
      <c r="H8" s="196" t="n">
        <v>40500</v>
      </c>
      <c r="I8" s="196" t="inlineStr">
        <is>
          <t>USD</t>
        </is>
      </c>
      <c r="J8" s="196" t="n"/>
      <c r="K8" s="196" t="n">
        <v>40500</v>
      </c>
      <c r="L8" s="198">
        <f>K8*S8</f>
        <v/>
      </c>
      <c r="M8" s="47" t="inlineStr">
        <is>
          <t>SOLAR</t>
        </is>
      </c>
      <c r="N8" s="199">
        <f>H8-K8</f>
        <v/>
      </c>
      <c r="O8" s="203" t="n"/>
      <c r="P8" s="40" t="inlineStr">
        <is>
          <t>A0021690212496</t>
        </is>
      </c>
      <c r="Q8" s="27" t="inlineStr">
        <is>
          <t>30 Jan 2026</t>
        </is>
      </c>
      <c r="R8" s="27" t="inlineStr">
        <is>
          <t>30 Jan 2026</t>
        </is>
      </c>
      <c r="S8" s="28" t="n">
        <v>31.5106</v>
      </c>
      <c r="T8" s="41" t="n"/>
      <c r="U8" s="199" t="n"/>
      <c r="V8" s="204" t="n"/>
    </row>
    <row r="9">
      <c r="A9" s="29" t="n">
        <v>7</v>
      </c>
      <c r="B9" s="44" t="n">
        <v>46055</v>
      </c>
      <c r="C9" s="17" t="inlineStr">
        <is>
          <t>S 120376</t>
        </is>
      </c>
      <c r="D9" s="18" t="inlineStr">
        <is>
          <t>UMT</t>
        </is>
      </c>
      <c r="E9" s="193" t="inlineStr">
        <is>
          <t>825-0719</t>
        </is>
      </c>
      <c r="F9" s="193" t="n">
        <v>3000</v>
      </c>
      <c r="G9" s="205" t="inlineStr">
        <is>
          <t>20005659-00</t>
        </is>
      </c>
      <c r="H9" s="196" t="n">
        <v>40500</v>
      </c>
      <c r="I9" s="196" t="inlineStr">
        <is>
          <t>USD</t>
        </is>
      </c>
      <c r="J9" s="196" t="n"/>
      <c r="K9" s="196" t="n">
        <v>40500</v>
      </c>
      <c r="L9" s="198">
        <f>K9*S9</f>
        <v/>
      </c>
      <c r="M9" s="47" t="inlineStr">
        <is>
          <t>SOLAR</t>
        </is>
      </c>
      <c r="N9" s="199">
        <f>H9-K9</f>
        <v/>
      </c>
      <c r="O9" s="203" t="n"/>
      <c r="P9" s="40" t="inlineStr">
        <is>
          <t>A0021690212496</t>
        </is>
      </c>
      <c r="Q9" s="27" t="inlineStr">
        <is>
          <t>30 Jan 2026</t>
        </is>
      </c>
      <c r="R9" s="27" t="inlineStr">
        <is>
          <t>30 Jan 2026</t>
        </is>
      </c>
      <c r="S9" s="28" t="n">
        <v>31.5106</v>
      </c>
      <c r="T9" s="41" t="n"/>
      <c r="U9" s="199" t="n"/>
      <c r="V9" s="204" t="n"/>
    </row>
    <row r="10">
      <c r="A10" s="29" t="n">
        <v>8</v>
      </c>
      <c r="B10" s="44" t="n">
        <v>46055</v>
      </c>
      <c r="C10" s="17" t="inlineStr">
        <is>
          <t>S 120377</t>
        </is>
      </c>
      <c r="D10" s="18" t="inlineStr">
        <is>
          <t>UMT</t>
        </is>
      </c>
      <c r="E10" s="193" t="inlineStr">
        <is>
          <t>825-0719</t>
        </is>
      </c>
      <c r="F10" s="193" t="n">
        <v>195</v>
      </c>
      <c r="G10" s="205" t="inlineStr">
        <is>
          <t>20005659-00</t>
        </is>
      </c>
      <c r="H10" s="196" t="n">
        <v>2632.5</v>
      </c>
      <c r="I10" s="196" t="inlineStr">
        <is>
          <t>USD</t>
        </is>
      </c>
      <c r="J10" s="196" t="n"/>
      <c r="K10" s="196" t="n">
        <v>2632.5</v>
      </c>
      <c r="L10" s="198">
        <f>K10*S10</f>
        <v/>
      </c>
      <c r="M10" s="47" t="inlineStr">
        <is>
          <t>SOLAR</t>
        </is>
      </c>
      <c r="N10" s="199">
        <f>H10-K10</f>
        <v/>
      </c>
      <c r="O10" s="203" t="n"/>
      <c r="P10" s="40" t="inlineStr">
        <is>
          <t>A0021690212496</t>
        </is>
      </c>
      <c r="Q10" s="27" t="inlineStr">
        <is>
          <t>30 Jan 2026</t>
        </is>
      </c>
      <c r="R10" s="27" t="inlineStr">
        <is>
          <t>30 Jan 2026</t>
        </is>
      </c>
      <c r="S10" s="28" t="n">
        <v>31.5106</v>
      </c>
      <c r="T10" s="41" t="n"/>
      <c r="U10" s="199" t="n"/>
      <c r="V10" s="204" t="n"/>
    </row>
    <row r="11">
      <c r="A11" s="29" t="n">
        <v>9</v>
      </c>
      <c r="B11" s="44" t="n">
        <v>46055</v>
      </c>
      <c r="C11" s="17" t="inlineStr">
        <is>
          <t>S 120378</t>
        </is>
      </c>
      <c r="D11" s="18" t="inlineStr">
        <is>
          <t>UMT</t>
        </is>
      </c>
      <c r="E11" s="193" t="inlineStr">
        <is>
          <t>825-0721</t>
        </is>
      </c>
      <c r="F11" s="193" t="n">
        <v>540</v>
      </c>
      <c r="G11" s="195" t="inlineStr">
        <is>
          <t>20005661-00</t>
        </is>
      </c>
      <c r="H11" s="196" t="n">
        <v>8532</v>
      </c>
      <c r="I11" s="196" t="inlineStr">
        <is>
          <t>USD</t>
        </is>
      </c>
      <c r="J11" s="196" t="n"/>
      <c r="K11" s="197" t="n">
        <v>8532</v>
      </c>
      <c r="L11" s="198">
        <f>K11*S11</f>
        <v/>
      </c>
      <c r="M11" s="47" t="inlineStr">
        <is>
          <t>SOLAR</t>
        </is>
      </c>
      <c r="N11" s="199">
        <f>H11-K11</f>
        <v/>
      </c>
      <c r="O11" s="203" t="n"/>
      <c r="P11" s="40" t="inlineStr">
        <is>
          <t>A0021690212496</t>
        </is>
      </c>
      <c r="Q11" s="27" t="inlineStr">
        <is>
          <t>30 Jan 2026</t>
        </is>
      </c>
      <c r="R11" s="27" t="inlineStr">
        <is>
          <t>30 Jan 2026</t>
        </is>
      </c>
      <c r="S11" s="28" t="n">
        <v>31.5106</v>
      </c>
      <c r="T11" s="41" t="n"/>
      <c r="U11" s="199" t="n"/>
      <c r="V11" s="204" t="n"/>
    </row>
    <row r="12">
      <c r="A12" s="29" t="n">
        <v>10</v>
      </c>
      <c r="B12" s="44" t="n">
        <v>46055</v>
      </c>
      <c r="C12" s="17" t="inlineStr">
        <is>
          <t>S 120379</t>
        </is>
      </c>
      <c r="D12" s="18" t="inlineStr">
        <is>
          <t>UMT</t>
        </is>
      </c>
      <c r="E12" s="193" t="inlineStr">
        <is>
          <t>825-0721</t>
        </is>
      </c>
      <c r="F12" s="193" t="n">
        <v>1118</v>
      </c>
      <c r="G12" s="195" t="inlineStr">
        <is>
          <t>20005661-00</t>
        </is>
      </c>
      <c r="H12" s="196" t="n">
        <v>17664.4</v>
      </c>
      <c r="I12" s="196" t="inlineStr">
        <is>
          <t>USD</t>
        </is>
      </c>
      <c r="J12" s="196" t="n"/>
      <c r="K12" s="197" t="n">
        <v>17664.4</v>
      </c>
      <c r="L12" s="198">
        <f>K12*S12</f>
        <v/>
      </c>
      <c r="M12" s="47" t="inlineStr">
        <is>
          <t>SOLAR</t>
        </is>
      </c>
      <c r="N12" s="199">
        <f>H12-K12</f>
        <v/>
      </c>
      <c r="O12" s="203" t="n"/>
      <c r="P12" s="40" t="inlineStr">
        <is>
          <t>A0021690212496</t>
        </is>
      </c>
      <c r="Q12" s="27" t="inlineStr">
        <is>
          <t>30 Jan 2026</t>
        </is>
      </c>
      <c r="R12" s="27" t="inlineStr">
        <is>
          <t>30 Jan 2026</t>
        </is>
      </c>
      <c r="S12" s="28" t="n">
        <v>31.5106</v>
      </c>
      <c r="T12" s="49" t="n"/>
      <c r="U12" s="199" t="n"/>
      <c r="V12" s="204" t="n"/>
      <c r="X12" s="186" t="n"/>
    </row>
    <row r="13">
      <c r="A13" s="29" t="n">
        <v>11</v>
      </c>
      <c r="B13" s="44" t="n">
        <v>46055</v>
      </c>
      <c r="C13" s="17" t="inlineStr">
        <is>
          <t>S 120380</t>
        </is>
      </c>
      <c r="D13" s="18" t="inlineStr">
        <is>
          <t>UMT</t>
        </is>
      </c>
      <c r="E13" s="193" t="inlineStr">
        <is>
          <t>720-0178</t>
        </is>
      </c>
      <c r="F13" s="193" t="n">
        <v>480</v>
      </c>
      <c r="G13" s="195" t="inlineStr">
        <is>
          <t>20026016-03 Cable harness H7 CTT</t>
        </is>
      </c>
      <c r="H13" s="196" t="n">
        <v>2352</v>
      </c>
      <c r="I13" s="196" t="inlineStr">
        <is>
          <t>USD</t>
        </is>
      </c>
      <c r="J13" s="196" t="n"/>
      <c r="K13" s="196" t="n">
        <v>2352</v>
      </c>
      <c r="L13" s="198">
        <f>K13*S13</f>
        <v/>
      </c>
      <c r="M13" s="47" t="inlineStr">
        <is>
          <t>SOLAR</t>
        </is>
      </c>
      <c r="N13" s="199">
        <f>H13-K13</f>
        <v/>
      </c>
      <c r="O13" s="203" t="n"/>
      <c r="P13" s="40" t="inlineStr">
        <is>
          <t>A0021690214059</t>
        </is>
      </c>
      <c r="Q13" s="27" t="inlineStr">
        <is>
          <t>30 Jan 2026</t>
        </is>
      </c>
      <c r="R13" s="27" t="inlineStr">
        <is>
          <t>30 Jan 2026</t>
        </is>
      </c>
      <c r="S13" s="28" t="n">
        <v>31.5106</v>
      </c>
      <c r="T13" s="49" t="n"/>
      <c r="U13" s="199" t="n"/>
      <c r="V13" s="204" t="n"/>
      <c r="X13" s="186" t="n"/>
    </row>
    <row r="14">
      <c r="A14" s="29" t="n">
        <v>12</v>
      </c>
      <c r="B14" s="44" t="n">
        <v>46055</v>
      </c>
      <c r="C14" s="17" t="inlineStr">
        <is>
          <t>S 120381</t>
        </is>
      </c>
      <c r="D14" s="18" t="inlineStr">
        <is>
          <t>UMT</t>
        </is>
      </c>
      <c r="E14" s="193" t="inlineStr">
        <is>
          <t>825-0680</t>
        </is>
      </c>
      <c r="F14" s="193" t="n">
        <v>5000</v>
      </c>
      <c r="G14" s="195" t="inlineStr">
        <is>
          <t>8402614205</t>
        </is>
      </c>
      <c r="H14" s="196" t="n">
        <v>26000</v>
      </c>
      <c r="I14" s="196" t="inlineStr">
        <is>
          <t>USD</t>
        </is>
      </c>
      <c r="J14" s="196" t="n"/>
      <c r="K14" s="197" t="n">
        <v>26000</v>
      </c>
      <c r="L14" s="198">
        <f>K14*S14</f>
        <v/>
      </c>
      <c r="M14" s="47" t="inlineStr">
        <is>
          <t>SOLAR</t>
        </is>
      </c>
      <c r="N14" s="199">
        <f>H14-K14</f>
        <v/>
      </c>
      <c r="O14" s="203" t="n"/>
      <c r="P14" s="40" t="inlineStr">
        <is>
          <t>A0021690211633</t>
        </is>
      </c>
      <c r="Q14" s="27" t="inlineStr">
        <is>
          <t>30 Jan 2026</t>
        </is>
      </c>
      <c r="R14" s="27" t="inlineStr">
        <is>
          <t>30 Jan 2026</t>
        </is>
      </c>
      <c r="S14" s="28" t="n">
        <v>31.5106</v>
      </c>
      <c r="T14" s="49" t="n"/>
      <c r="U14" s="199" t="n"/>
      <c r="V14" s="204" t="n"/>
      <c r="X14" s="186" t="n"/>
    </row>
    <row r="15">
      <c r="A15" s="29" t="n">
        <v>13</v>
      </c>
      <c r="B15" s="44" t="n">
        <v>46055</v>
      </c>
      <c r="C15" s="17" t="inlineStr">
        <is>
          <t>S 120382</t>
        </is>
      </c>
      <c r="D15" s="18" t="inlineStr">
        <is>
          <t>UMT</t>
        </is>
      </c>
      <c r="E15" s="193" t="inlineStr">
        <is>
          <t>820-0140</t>
        </is>
      </c>
      <c r="F15" s="194" t="n">
        <v>600</v>
      </c>
      <c r="G15" s="195" t="inlineStr">
        <is>
          <t>304F-73359 Mold cable</t>
        </is>
      </c>
      <c r="H15" s="196" t="n">
        <v>7440</v>
      </c>
      <c r="I15" s="196" t="inlineStr">
        <is>
          <t>USD</t>
        </is>
      </c>
      <c r="J15" s="196" t="n"/>
      <c r="K15" s="197" t="n">
        <v>7440</v>
      </c>
      <c r="L15" s="198">
        <f>K15*S15</f>
        <v/>
      </c>
      <c r="M15" s="47" t="inlineStr">
        <is>
          <t>SOLAR</t>
        </is>
      </c>
      <c r="N15" s="199">
        <f>H15-K15</f>
        <v/>
      </c>
      <c r="O15" s="203" t="n"/>
      <c r="P15" s="40" t="inlineStr">
        <is>
          <t>A0021690211633</t>
        </is>
      </c>
      <c r="Q15" s="27" t="inlineStr">
        <is>
          <t>30 Jan 2026</t>
        </is>
      </c>
      <c r="R15" s="27" t="inlineStr">
        <is>
          <t>30 Jan 2026</t>
        </is>
      </c>
      <c r="S15" s="28" t="n">
        <v>31.5106</v>
      </c>
      <c r="T15" s="49" t="n"/>
      <c r="U15" s="199" t="n"/>
      <c r="V15" s="204" t="n"/>
      <c r="X15" s="186" t="n"/>
    </row>
    <row r="16">
      <c r="A16" s="29" t="n">
        <v>14</v>
      </c>
      <c r="B16" s="44" t="n">
        <v>46055</v>
      </c>
      <c r="C16" s="17" t="inlineStr">
        <is>
          <t>S 120383</t>
        </is>
      </c>
      <c r="D16" s="18" t="inlineStr">
        <is>
          <t>UMT</t>
        </is>
      </c>
      <c r="E16" s="193" t="inlineStr">
        <is>
          <t>825-0707</t>
        </is>
      </c>
      <c r="F16" s="193" t="n">
        <v>400</v>
      </c>
      <c r="G16" s="195" t="inlineStr">
        <is>
          <t>20004781-00</t>
        </is>
      </c>
      <c r="H16" s="196" t="n">
        <v>2344</v>
      </c>
      <c r="I16" s="196" t="inlineStr">
        <is>
          <t>USD</t>
        </is>
      </c>
      <c r="J16" s="196" t="n"/>
      <c r="K16" s="197" t="n">
        <v>2344</v>
      </c>
      <c r="L16" s="198">
        <f>K16*S16</f>
        <v/>
      </c>
      <c r="M16" s="47" t="inlineStr">
        <is>
          <t>SOLAR</t>
        </is>
      </c>
      <c r="N16" s="199">
        <f>H16-K16</f>
        <v/>
      </c>
      <c r="O16" s="203" t="n"/>
      <c r="P16" s="40" t="inlineStr">
        <is>
          <t>A0021690211633</t>
        </is>
      </c>
      <c r="Q16" s="27" t="inlineStr">
        <is>
          <t>30 Jan 2026</t>
        </is>
      </c>
      <c r="R16" s="27" t="inlineStr">
        <is>
          <t>30 Jan 2026</t>
        </is>
      </c>
      <c r="S16" s="28" t="n">
        <v>31.5106</v>
      </c>
      <c r="T16" s="49" t="n"/>
      <c r="V16" s="204" t="n"/>
      <c r="X16" s="186" t="n"/>
    </row>
    <row r="17">
      <c r="A17" s="29" t="n">
        <v>15</v>
      </c>
      <c r="B17" s="44" t="n">
        <v>46055</v>
      </c>
      <c r="C17" s="17" t="inlineStr">
        <is>
          <t>S 120384</t>
        </is>
      </c>
      <c r="D17" s="18" t="inlineStr">
        <is>
          <t>UMT</t>
        </is>
      </c>
      <c r="E17" s="193" t="inlineStr">
        <is>
          <t>820-0013</t>
        </is>
      </c>
      <c r="F17" s="193" t="n">
        <v>1500</v>
      </c>
      <c r="G17" s="195" t="inlineStr">
        <is>
          <t>304F-73324 Cable harness DSE1210.13 PHZ</t>
        </is>
      </c>
      <c r="H17" s="196" t="n">
        <v>5250</v>
      </c>
      <c r="I17" s="196" t="inlineStr">
        <is>
          <t>USD</t>
        </is>
      </c>
      <c r="J17" s="196" t="n"/>
      <c r="K17" s="197" t="n">
        <v>5250</v>
      </c>
      <c r="L17" s="198">
        <f>K17*S17</f>
        <v/>
      </c>
      <c r="M17" s="47" t="inlineStr">
        <is>
          <t>SOLAR</t>
        </is>
      </c>
      <c r="N17" s="199">
        <f>H17-K17</f>
        <v/>
      </c>
      <c r="O17" s="203" t="n"/>
      <c r="P17" s="40" t="inlineStr">
        <is>
          <t>A0021690211633</t>
        </is>
      </c>
      <c r="Q17" s="27" t="inlineStr">
        <is>
          <t>30 Jan 2026</t>
        </is>
      </c>
      <c r="R17" s="27" t="inlineStr">
        <is>
          <t>30 Jan 2026</t>
        </is>
      </c>
      <c r="S17" s="28" t="n">
        <v>31.5106</v>
      </c>
      <c r="T17" s="49" t="n"/>
      <c r="V17" s="204" t="n"/>
      <c r="X17" s="186" t="n"/>
    </row>
    <row r="18">
      <c r="A18" s="29" t="n">
        <v>16</v>
      </c>
      <c r="B18" s="44" t="n">
        <v>46055</v>
      </c>
      <c r="C18" s="17" t="inlineStr">
        <is>
          <t>S 120385</t>
        </is>
      </c>
      <c r="D18" s="18" t="inlineStr">
        <is>
          <t>UMT</t>
        </is>
      </c>
      <c r="E18" s="193" t="inlineStr">
        <is>
          <t>825-0700</t>
        </is>
      </c>
      <c r="F18" s="193" t="n">
        <v>10000</v>
      </c>
      <c r="G18" s="195" t="inlineStr">
        <is>
          <t>20002871-00</t>
        </is>
      </c>
      <c r="H18" s="196" t="n">
        <v>23000</v>
      </c>
      <c r="I18" s="196" t="inlineStr">
        <is>
          <t>USD</t>
        </is>
      </c>
      <c r="J18" s="196" t="n"/>
      <c r="K18" s="197" t="n">
        <v>23000</v>
      </c>
      <c r="L18" s="198">
        <f>K18*S18</f>
        <v/>
      </c>
      <c r="M18" s="47" t="inlineStr">
        <is>
          <t>SOLAR</t>
        </is>
      </c>
      <c r="N18" s="199">
        <f>H18-K18</f>
        <v/>
      </c>
      <c r="O18" s="203" t="n"/>
      <c r="P18" s="40" t="inlineStr">
        <is>
          <t>A0021690211633</t>
        </is>
      </c>
      <c r="Q18" s="27" t="inlineStr">
        <is>
          <t>30 Jan 2026</t>
        </is>
      </c>
      <c r="R18" s="27" t="inlineStr">
        <is>
          <t>30 Jan 2026</t>
        </is>
      </c>
      <c r="S18" s="28" t="n">
        <v>31.5106</v>
      </c>
      <c r="T18" s="49" t="n"/>
      <c r="V18" s="204" t="n"/>
      <c r="X18" s="186" t="n"/>
    </row>
    <row r="19">
      <c r="A19" s="29" t="n">
        <v>17</v>
      </c>
      <c r="B19" s="44" t="n">
        <v>46055</v>
      </c>
      <c r="C19" s="17" t="inlineStr">
        <is>
          <t>S 120386</t>
        </is>
      </c>
      <c r="D19" s="18" t="inlineStr">
        <is>
          <t>UMT</t>
        </is>
      </c>
      <c r="E19" s="193" t="inlineStr">
        <is>
          <t>820-0094</t>
        </is>
      </c>
      <c r="F19" s="193" t="n">
        <v>12000</v>
      </c>
      <c r="G19" s="195" t="inlineStr">
        <is>
          <t>8402607289 _Kabel_konfektioniert</t>
        </is>
      </c>
      <c r="H19" s="196" t="n">
        <v>34800</v>
      </c>
      <c r="I19" s="196" t="inlineStr">
        <is>
          <t>USD</t>
        </is>
      </c>
      <c r="J19" s="196" t="n"/>
      <c r="K19" s="197" t="n">
        <v>34800</v>
      </c>
      <c r="L19" s="198">
        <f>K19*S19</f>
        <v/>
      </c>
      <c r="M19" s="47" t="inlineStr">
        <is>
          <t>SOLAR</t>
        </is>
      </c>
      <c r="N19" s="199">
        <f>H19-K19</f>
        <v/>
      </c>
      <c r="O19" s="203" t="n"/>
      <c r="P19" s="40" t="inlineStr">
        <is>
          <t>A0021690211633</t>
        </is>
      </c>
      <c r="Q19" s="27" t="inlineStr">
        <is>
          <t>30 Jan 2026</t>
        </is>
      </c>
      <c r="R19" s="27" t="inlineStr">
        <is>
          <t>30 Jan 2026</t>
        </is>
      </c>
      <c r="S19" s="28" t="n">
        <v>31.5106</v>
      </c>
      <c r="T19" s="49" t="n"/>
      <c r="V19" s="204" t="n"/>
      <c r="X19" s="186" t="n"/>
    </row>
    <row r="20">
      <c r="A20" s="29" t="n">
        <v>18</v>
      </c>
      <c r="B20" s="44" t="n">
        <v>46055</v>
      </c>
      <c r="C20" s="17" t="inlineStr">
        <is>
          <t>S 120387</t>
        </is>
      </c>
      <c r="D20" s="18" t="inlineStr">
        <is>
          <t>UMT</t>
        </is>
      </c>
      <c r="E20" s="193" t="inlineStr">
        <is>
          <t>825-0700</t>
        </is>
      </c>
      <c r="F20" s="193" t="n">
        <v>10000</v>
      </c>
      <c r="G20" s="195" t="inlineStr">
        <is>
          <t>20002871-00</t>
        </is>
      </c>
      <c r="H20" s="196" t="n">
        <v>23000</v>
      </c>
      <c r="I20" s="196" t="inlineStr">
        <is>
          <t>USD</t>
        </is>
      </c>
      <c r="J20" s="196" t="n"/>
      <c r="K20" s="197" t="n">
        <v>23000</v>
      </c>
      <c r="L20" s="198">
        <f>K20*S20</f>
        <v/>
      </c>
      <c r="M20" s="47" t="inlineStr">
        <is>
          <t>SOLAR</t>
        </is>
      </c>
      <c r="N20" s="199">
        <f>H20-K20</f>
        <v/>
      </c>
      <c r="O20" s="203" t="n"/>
      <c r="P20" s="40" t="inlineStr">
        <is>
          <t>A0021690211633</t>
        </is>
      </c>
      <c r="Q20" s="27" t="inlineStr">
        <is>
          <t>30 Jan 2026</t>
        </is>
      </c>
      <c r="R20" s="27" t="inlineStr">
        <is>
          <t>30 Jan 2026</t>
        </is>
      </c>
      <c r="S20" s="28" t="n">
        <v>31.5106</v>
      </c>
      <c r="T20" s="49" t="n"/>
      <c r="V20" s="204" t="n"/>
      <c r="X20" s="186" t="n"/>
    </row>
    <row r="21">
      <c r="A21" s="29" t="n">
        <v>19</v>
      </c>
      <c r="B21" s="44" t="n">
        <v>46055</v>
      </c>
      <c r="C21" s="17" t="inlineStr">
        <is>
          <t>S 120388</t>
        </is>
      </c>
      <c r="D21" s="18" t="inlineStr">
        <is>
          <t>UMT</t>
        </is>
      </c>
      <c r="E21" s="193" t="inlineStr">
        <is>
          <t>825-0679</t>
        </is>
      </c>
      <c r="F21" s="193" t="n">
        <v>1000</v>
      </c>
      <c r="G21" s="195" t="inlineStr">
        <is>
          <t>8402614211</t>
        </is>
      </c>
      <c r="H21" s="196" t="n">
        <v>7230</v>
      </c>
      <c r="I21" s="196" t="inlineStr">
        <is>
          <t>USD</t>
        </is>
      </c>
      <c r="J21" s="196" t="n"/>
      <c r="K21" s="197" t="n">
        <v>7230</v>
      </c>
      <c r="L21" s="198">
        <f>K21*S21</f>
        <v/>
      </c>
      <c r="M21" s="47" t="inlineStr">
        <is>
          <t>SOLAR</t>
        </is>
      </c>
      <c r="N21" s="199">
        <f>H21-K21</f>
        <v/>
      </c>
      <c r="O21" s="203" t="n"/>
      <c r="P21" s="40" t="inlineStr">
        <is>
          <t>A0021690211633</t>
        </is>
      </c>
      <c r="Q21" s="27" t="inlineStr">
        <is>
          <t>30 Jan 2026</t>
        </is>
      </c>
      <c r="R21" s="27" t="inlineStr">
        <is>
          <t>30 Jan 2026</t>
        </is>
      </c>
      <c r="S21" s="28" t="n">
        <v>31.5106</v>
      </c>
      <c r="T21" s="49" t="n"/>
      <c r="V21" s="204" t="n"/>
      <c r="X21" s="186" t="n"/>
    </row>
    <row r="22">
      <c r="A22" s="29" t="n">
        <v>20</v>
      </c>
      <c r="B22" s="44" t="n">
        <v>46055</v>
      </c>
      <c r="C22" s="17" t="inlineStr">
        <is>
          <t>S 120389</t>
        </is>
      </c>
      <c r="D22" s="18" t="inlineStr">
        <is>
          <t>UMT</t>
        </is>
      </c>
      <c r="E22" s="193" t="inlineStr">
        <is>
          <t>825-0681</t>
        </is>
      </c>
      <c r="F22" s="193" t="n">
        <v>3000</v>
      </c>
      <c r="G22" s="195" t="inlineStr">
        <is>
          <t>8402614207</t>
        </is>
      </c>
      <c r="H22" s="196" t="n">
        <v>12750</v>
      </c>
      <c r="I22" s="196" t="inlineStr">
        <is>
          <t>USD</t>
        </is>
      </c>
      <c r="J22" s="196" t="n"/>
      <c r="K22" s="197" t="n">
        <v>12750</v>
      </c>
      <c r="L22" s="198">
        <f>K22*S22</f>
        <v/>
      </c>
      <c r="M22" s="47" t="inlineStr">
        <is>
          <t>SOLAR</t>
        </is>
      </c>
      <c r="N22" s="199">
        <f>H22-K22</f>
        <v/>
      </c>
      <c r="O22" s="203" t="n"/>
      <c r="P22" s="40" t="inlineStr">
        <is>
          <t>A0021690211633</t>
        </is>
      </c>
      <c r="Q22" s="27" t="inlineStr">
        <is>
          <t>30 Jan 2026</t>
        </is>
      </c>
      <c r="R22" s="27" t="inlineStr">
        <is>
          <t>30 Jan 2026</t>
        </is>
      </c>
      <c r="S22" s="28" t="n">
        <v>31.5106</v>
      </c>
      <c r="T22" s="49" t="n"/>
      <c r="V22" s="204" t="n"/>
      <c r="X22" s="186" t="n"/>
    </row>
    <row r="23">
      <c r="A23" s="29" t="n">
        <v>21</v>
      </c>
      <c r="B23" s="44" t="n">
        <v>46055</v>
      </c>
      <c r="C23" s="17" t="inlineStr">
        <is>
          <t>S 120390</t>
        </is>
      </c>
      <c r="D23" s="18" t="inlineStr">
        <is>
          <t>UMT</t>
        </is>
      </c>
      <c r="E23" s="193" t="inlineStr">
        <is>
          <t>820-0360</t>
        </is>
      </c>
      <c r="F23" s="194" t="n">
        <v>500</v>
      </c>
      <c r="G23" s="195" t="inlineStr">
        <is>
          <t>8402614505</t>
        </is>
      </c>
      <c r="H23" s="197" t="n">
        <v>1750</v>
      </c>
      <c r="I23" s="197" t="inlineStr">
        <is>
          <t>USD</t>
        </is>
      </c>
      <c r="J23" s="196" t="n"/>
      <c r="K23" s="197" t="n">
        <v>1750</v>
      </c>
      <c r="L23" s="198">
        <f>K23*S23</f>
        <v/>
      </c>
      <c r="M23" s="47" t="inlineStr">
        <is>
          <t>SOLAR</t>
        </is>
      </c>
      <c r="N23" s="199">
        <f>H23-K23</f>
        <v/>
      </c>
      <c r="O23" s="203" t="n"/>
      <c r="P23" s="40" t="inlineStr">
        <is>
          <t>A0021690211633</t>
        </is>
      </c>
      <c r="Q23" s="27" t="inlineStr">
        <is>
          <t>30 Jan 2026</t>
        </is>
      </c>
      <c r="R23" s="27" t="inlineStr">
        <is>
          <t>30 Jan 2026</t>
        </is>
      </c>
      <c r="S23" s="28" t="n">
        <v>31.5106</v>
      </c>
      <c r="T23" s="49" t="n"/>
      <c r="V23" s="204" t="n"/>
    </row>
    <row r="24">
      <c r="A24" s="29" t="n">
        <v>22</v>
      </c>
      <c r="B24" s="44" t="n">
        <v>46055</v>
      </c>
      <c r="C24" s="17" t="inlineStr">
        <is>
          <t>S 120391</t>
        </is>
      </c>
      <c r="D24" s="18" t="inlineStr">
        <is>
          <t>UMT</t>
        </is>
      </c>
      <c r="E24" s="193" t="inlineStr">
        <is>
          <t>820-0142</t>
        </is>
      </c>
      <c r="F24" s="194" t="n">
        <v>500</v>
      </c>
      <c r="G24" s="195" t="inlineStr">
        <is>
          <t>304F-73417 Mold cable</t>
        </is>
      </c>
      <c r="H24" s="196" t="n">
        <v>2825</v>
      </c>
      <c r="I24" s="196" t="inlineStr">
        <is>
          <t>USD</t>
        </is>
      </c>
      <c r="J24" s="196" t="n"/>
      <c r="K24" s="197" t="n">
        <v>2825</v>
      </c>
      <c r="L24" s="198">
        <f>K24*S24</f>
        <v/>
      </c>
      <c r="M24" s="47" t="inlineStr">
        <is>
          <t>SOLAR</t>
        </is>
      </c>
      <c r="N24" s="199">
        <f>H24-K24</f>
        <v/>
      </c>
      <c r="O24" s="203" t="n"/>
      <c r="P24" s="40" t="inlineStr">
        <is>
          <t>A0021690211633</t>
        </is>
      </c>
      <c r="Q24" s="27" t="inlineStr">
        <is>
          <t>30 Jan 2026</t>
        </is>
      </c>
      <c r="R24" s="27" t="inlineStr">
        <is>
          <t>30 Jan 2026</t>
        </is>
      </c>
      <c r="S24" s="28" t="n">
        <v>31.5106</v>
      </c>
      <c r="T24" s="53" t="n"/>
      <c r="U24" s="206" t="n"/>
      <c r="V24" s="204" t="n"/>
    </row>
    <row r="25">
      <c r="A25" s="29" t="n">
        <v>23</v>
      </c>
      <c r="B25" s="44" t="n">
        <v>46055</v>
      </c>
      <c r="C25" s="17" t="inlineStr">
        <is>
          <t>S 120392</t>
        </is>
      </c>
      <c r="D25" s="18" t="inlineStr">
        <is>
          <t>UMT</t>
        </is>
      </c>
      <c r="E25" s="193" t="inlineStr">
        <is>
          <t>825-0702</t>
        </is>
      </c>
      <c r="F25" s="194" t="n">
        <v>250</v>
      </c>
      <c r="G25" s="195" t="inlineStr">
        <is>
          <t>20003261-00</t>
        </is>
      </c>
      <c r="H25" s="196" t="n">
        <v>682.5</v>
      </c>
      <c r="I25" s="196" t="inlineStr">
        <is>
          <t>USD</t>
        </is>
      </c>
      <c r="J25" s="196" t="n"/>
      <c r="K25" s="197" t="n">
        <v>682.5</v>
      </c>
      <c r="L25" s="198">
        <f>K25*S25</f>
        <v/>
      </c>
      <c r="M25" s="47" t="inlineStr">
        <is>
          <t>SOLAR</t>
        </is>
      </c>
      <c r="N25" s="199">
        <f>H25-K25</f>
        <v/>
      </c>
      <c r="O25" s="203" t="n"/>
      <c r="P25" s="40" t="inlineStr">
        <is>
          <t>A0021690211633</t>
        </is>
      </c>
      <c r="Q25" s="27" t="inlineStr">
        <is>
          <t>30 Jan 2026</t>
        </is>
      </c>
      <c r="R25" s="27" t="inlineStr">
        <is>
          <t>30 Jan 2026</t>
        </is>
      </c>
      <c r="S25" s="28" t="n">
        <v>31.5106</v>
      </c>
      <c r="T25" s="55" t="n"/>
      <c r="U25" s="207" t="n"/>
      <c r="V25" s="204" t="n"/>
    </row>
    <row r="26">
      <c r="A26" s="29" t="n">
        <v>24</v>
      </c>
      <c r="B26" s="44" t="n">
        <v>46055</v>
      </c>
      <c r="C26" s="17" t="inlineStr">
        <is>
          <t>S 120393</t>
        </is>
      </c>
      <c r="D26" s="18" t="inlineStr">
        <is>
          <t>UMT</t>
        </is>
      </c>
      <c r="E26" s="193" t="inlineStr">
        <is>
          <t>820-0049</t>
        </is>
      </c>
      <c r="F26" s="194" t="n">
        <v>500</v>
      </c>
      <c r="G26" s="195" t="inlineStr">
        <is>
          <t>304F-73755 CABLE HARNESS fur TPL:L=590</t>
        </is>
      </c>
      <c r="H26" s="196" t="n">
        <v>315</v>
      </c>
      <c r="I26" s="196" t="inlineStr">
        <is>
          <t>USD</t>
        </is>
      </c>
      <c r="J26" s="196" t="n"/>
      <c r="K26" s="197" t="n">
        <v>315</v>
      </c>
      <c r="L26" s="198">
        <f>K26*S26</f>
        <v/>
      </c>
      <c r="M26" s="47" t="inlineStr">
        <is>
          <t>SOLAR</t>
        </is>
      </c>
      <c r="N26" s="199">
        <f>H26-K26</f>
        <v/>
      </c>
      <c r="O26" s="203" t="n"/>
      <c r="P26" s="40" t="inlineStr">
        <is>
          <t>A0021690211633</t>
        </is>
      </c>
      <c r="Q26" s="27" t="inlineStr">
        <is>
          <t>30 Jan 2026</t>
        </is>
      </c>
      <c r="R26" s="27" t="inlineStr">
        <is>
          <t>30 Jan 2026</t>
        </is>
      </c>
      <c r="S26" s="28" t="n">
        <v>31.5106</v>
      </c>
      <c r="T26" s="57" t="n"/>
      <c r="U26" s="206" t="n"/>
      <c r="V26" s="204" t="n"/>
    </row>
    <row r="27">
      <c r="A27" s="29" t="n">
        <v>25</v>
      </c>
      <c r="B27" s="44" t="n">
        <v>46055</v>
      </c>
      <c r="C27" s="17" t="inlineStr">
        <is>
          <t>S 120394</t>
        </is>
      </c>
      <c r="D27" s="18" t="inlineStr">
        <is>
          <t>UMT</t>
        </is>
      </c>
      <c r="E27" s="193" t="inlineStr">
        <is>
          <t>825-0720</t>
        </is>
      </c>
      <c r="F27" s="194" t="n">
        <v>2782</v>
      </c>
      <c r="G27" s="195" t="inlineStr">
        <is>
          <t>20005660-00</t>
        </is>
      </c>
      <c r="H27" s="196" t="n">
        <v>40895.4</v>
      </c>
      <c r="I27" s="196" t="inlineStr">
        <is>
          <t>USD</t>
        </is>
      </c>
      <c r="J27" s="196" t="n"/>
      <c r="K27" s="197" t="n">
        <v>40895.4</v>
      </c>
      <c r="L27" s="198">
        <f>K27*S27</f>
        <v/>
      </c>
      <c r="M27" s="47" t="inlineStr">
        <is>
          <t>SOLAR</t>
        </is>
      </c>
      <c r="N27" s="199">
        <f>H27-K27</f>
        <v/>
      </c>
      <c r="O27" s="203" t="n"/>
      <c r="P27" s="40" t="inlineStr">
        <is>
          <t>A0021690211633</t>
        </is>
      </c>
      <c r="Q27" s="27" t="inlineStr">
        <is>
          <t>30 Jan 2026</t>
        </is>
      </c>
      <c r="R27" s="27" t="inlineStr">
        <is>
          <t>30 Jan 2026</t>
        </is>
      </c>
      <c r="S27" s="28" t="n">
        <v>31.5106</v>
      </c>
      <c r="T27" s="208" t="n"/>
      <c r="U27" s="59" t="n"/>
      <c r="V27" s="204" t="n"/>
    </row>
    <row r="28">
      <c r="A28" s="29" t="n">
        <v>26</v>
      </c>
      <c r="B28" s="44" t="n">
        <v>46055</v>
      </c>
      <c r="C28" s="17" t="inlineStr">
        <is>
          <t>S 120395</t>
        </is>
      </c>
      <c r="D28" s="18" t="inlineStr">
        <is>
          <t>FARPOINTE3</t>
        </is>
      </c>
      <c r="E28" s="193" t="inlineStr">
        <is>
          <t>A-41010000</t>
        </is>
      </c>
      <c r="F28" s="194" t="n">
        <v>1</v>
      </c>
      <c r="G28" s="195" t="inlineStr">
        <is>
          <t>Shipping Charge Base on 958.36 Kgs. Ref.S120310-323</t>
        </is>
      </c>
      <c r="H28" s="196" t="n">
        <v>11908.56</v>
      </c>
      <c r="I28" s="196" t="inlineStr">
        <is>
          <t>USD</t>
        </is>
      </c>
      <c r="J28" s="196" t="n"/>
      <c r="K28" s="197" t="n">
        <v>11908.56</v>
      </c>
      <c r="L28" s="198">
        <f>K28*S28</f>
        <v/>
      </c>
      <c r="M28" s="47" t="inlineStr">
        <is>
          <t>SOLAR</t>
        </is>
      </c>
      <c r="N28" s="199">
        <f>H28-K28</f>
        <v/>
      </c>
      <c r="O28" s="203" t="n"/>
      <c r="P28" s="40" t="n"/>
      <c r="Q28" s="27" t="inlineStr">
        <is>
          <t>30 Jan 2026</t>
        </is>
      </c>
      <c r="R28" s="27" t="inlineStr">
        <is>
          <t>30 Jan 2026</t>
        </is>
      </c>
      <c r="S28" s="28" t="n">
        <v>31.5106</v>
      </c>
      <c r="T28" s="208" t="n"/>
      <c r="U28" s="59" t="n"/>
      <c r="V28" s="204" t="n"/>
    </row>
    <row r="29">
      <c r="A29" s="29" t="n">
        <v>27</v>
      </c>
      <c r="B29" s="44" t="n">
        <v>46055</v>
      </c>
      <c r="C29" s="17" t="inlineStr">
        <is>
          <t>S 120396</t>
        </is>
      </c>
      <c r="D29" s="18" t="inlineStr">
        <is>
          <t>WAGENE2</t>
        </is>
      </c>
      <c r="E29" s="209" t="inlineStr">
        <is>
          <t>A-41010000</t>
        </is>
      </c>
      <c r="F29" s="210" t="n">
        <v>1</v>
      </c>
      <c r="G29" s="195" t="inlineStr">
        <is>
          <t>Shipping Charge Base on 227.00 Kgs. Ref.S120359-361</t>
        </is>
      </c>
      <c r="H29" s="196" t="n">
        <v>1220</v>
      </c>
      <c r="I29" s="196" t="inlineStr">
        <is>
          <t>EUR</t>
        </is>
      </c>
      <c r="J29" s="196" t="n"/>
      <c r="K29" s="197" t="n">
        <v>1220</v>
      </c>
      <c r="L29" s="198">
        <f>K29*S29</f>
        <v/>
      </c>
      <c r="M29" s="47" t="inlineStr">
        <is>
          <t>SOLAR</t>
        </is>
      </c>
      <c r="N29" s="199">
        <f>H29-K29</f>
        <v/>
      </c>
      <c r="O29" s="203" t="n"/>
      <c r="P29" s="40" t="n"/>
      <c r="Q29" s="27" t="inlineStr">
        <is>
          <t>30 Jan 2026</t>
        </is>
      </c>
      <c r="R29" s="27" t="inlineStr">
        <is>
          <t>30 Jan 2026</t>
        </is>
      </c>
      <c r="S29" s="28" t="n">
        <v>37.7005</v>
      </c>
      <c r="T29" s="53" t="n"/>
      <c r="U29" s="206" t="n"/>
      <c r="V29" s="204" t="n"/>
    </row>
    <row r="30">
      <c r="A30" s="29" t="n">
        <v>28</v>
      </c>
      <c r="B30" s="44" t="n">
        <v>46055</v>
      </c>
      <c r="C30" s="17" t="inlineStr">
        <is>
          <t>S 120396</t>
        </is>
      </c>
      <c r="D30" s="18" t="inlineStr">
        <is>
          <t>WAGENE2</t>
        </is>
      </c>
      <c r="E30" s="193" t="inlineStr">
        <is>
          <t>A-41010000</t>
        </is>
      </c>
      <c r="F30" s="194" t="n">
        <v>1</v>
      </c>
      <c r="G30" s="195" t="inlineStr">
        <is>
          <t>Sales -COO FEE</t>
        </is>
      </c>
      <c r="H30" s="196" t="n">
        <v>16</v>
      </c>
      <c r="I30" s="196" t="inlineStr">
        <is>
          <t>EUR</t>
        </is>
      </c>
      <c r="J30" s="196" t="n"/>
      <c r="K30" s="197" t="n">
        <v>16</v>
      </c>
      <c r="L30" s="198">
        <f>K30*S30</f>
        <v/>
      </c>
      <c r="M30" s="47" t="inlineStr">
        <is>
          <t>SOLAR</t>
        </is>
      </c>
      <c r="N30" s="199">
        <f>H30-K30</f>
        <v/>
      </c>
      <c r="O30" s="203" t="n"/>
      <c r="P30" s="40" t="n"/>
      <c r="Q30" s="27" t="inlineStr">
        <is>
          <t>30 Jan 2026</t>
        </is>
      </c>
      <c r="R30" s="27" t="inlineStr">
        <is>
          <t>30 Jan 2026</t>
        </is>
      </c>
      <c r="S30" s="28" t="n">
        <v>37.7005</v>
      </c>
      <c r="T30" s="53" t="n"/>
      <c r="U30" s="206" t="n"/>
      <c r="V30" s="204" t="n"/>
    </row>
    <row r="31">
      <c r="A31" s="29" t="n">
        <v>29</v>
      </c>
      <c r="B31" s="44" t="n">
        <v>46056</v>
      </c>
      <c r="C31" s="17" t="inlineStr">
        <is>
          <t>S 120397</t>
        </is>
      </c>
      <c r="D31" s="18" t="inlineStr">
        <is>
          <t>UMT</t>
        </is>
      </c>
      <c r="E31" s="193" t="inlineStr">
        <is>
          <t>800-0026</t>
        </is>
      </c>
      <c r="F31" s="194" t="n">
        <v>400</v>
      </c>
      <c r="G31" s="195" t="inlineStr">
        <is>
          <t>20003622-00</t>
        </is>
      </c>
      <c r="H31" s="196" t="n">
        <v>9000</v>
      </c>
      <c r="I31" s="196" t="inlineStr">
        <is>
          <t>USD</t>
        </is>
      </c>
      <c r="J31" s="196" t="n"/>
      <c r="K31" s="197" t="n">
        <v>9000</v>
      </c>
      <c r="L31" s="198">
        <f>K31*S31</f>
        <v/>
      </c>
      <c r="M31" s="47" t="inlineStr">
        <is>
          <t>SOLAR</t>
        </is>
      </c>
      <c r="N31" s="199">
        <f>H31-K31</f>
        <v/>
      </c>
      <c r="O31" s="203" t="n"/>
      <c r="P31" s="40" t="inlineStr">
        <is>
          <t>A0031690215218</t>
        </is>
      </c>
      <c r="Q31" s="27" t="inlineStr">
        <is>
          <t>02 Feb 2026</t>
        </is>
      </c>
      <c r="R31" s="27" t="inlineStr">
        <is>
          <t>02 Feb 2026</t>
        </is>
      </c>
      <c r="S31" s="28" t="n">
        <v>31.7994</v>
      </c>
      <c r="T31" s="53" t="n"/>
      <c r="U31" s="206" t="n"/>
      <c r="V31" s="204" t="n"/>
    </row>
    <row r="32">
      <c r="A32" s="29" t="n">
        <v>31</v>
      </c>
      <c r="B32" s="44" t="n">
        <v>46056</v>
      </c>
      <c r="C32" s="17" t="inlineStr">
        <is>
          <t>S 120398</t>
        </is>
      </c>
      <c r="D32" s="18" t="inlineStr">
        <is>
          <t>PLYMOVENT</t>
        </is>
      </c>
      <c r="E32" s="193" t="inlineStr">
        <is>
          <t>900-0130</t>
        </is>
      </c>
      <c r="F32" s="194" t="n">
        <v>20</v>
      </c>
      <c r="G32" s="195" t="inlineStr">
        <is>
          <t>Rotary encoder PCB Rev 1.0</t>
        </is>
      </c>
      <c r="H32" s="196" t="n">
        <v>10486</v>
      </c>
      <c r="I32" s="196" t="inlineStr">
        <is>
          <t>THB</t>
        </is>
      </c>
      <c r="J32" s="196">
        <f>L32*7/100</f>
        <v/>
      </c>
      <c r="K32" s="196" t="n"/>
      <c r="L32" s="198" t="n">
        <v>9800</v>
      </c>
      <c r="M32" s="47" t="inlineStr">
        <is>
          <t>SOLAR</t>
        </is>
      </c>
      <c r="N32" s="199">
        <f>H32-K32</f>
        <v/>
      </c>
      <c r="O32" s="203" t="n"/>
      <c r="P32" s="40" t="n"/>
      <c r="Q32" s="27" t="n"/>
      <c r="R32" s="27" t="n"/>
      <c r="S32" s="28" t="n"/>
      <c r="T32" s="49" t="n"/>
      <c r="V32" s="204" t="n"/>
    </row>
    <row r="33">
      <c r="A33" s="29" t="n">
        <v>32</v>
      </c>
      <c r="B33" s="44" t="n">
        <v>46056</v>
      </c>
      <c r="C33" s="17" t="inlineStr">
        <is>
          <t>S 120399</t>
        </is>
      </c>
      <c r="D33" s="18" t="inlineStr">
        <is>
          <t>PLYMOVENT</t>
        </is>
      </c>
      <c r="E33" s="193" t="inlineStr">
        <is>
          <t>311-1690</t>
        </is>
      </c>
      <c r="F33" s="194" t="n">
        <v>1</v>
      </c>
      <c r="G33" s="195" t="inlineStr">
        <is>
          <t>Stencil Rotary encoder - Bottom side</t>
        </is>
      </c>
      <c r="H33" s="196" t="n">
        <v>12305</v>
      </c>
      <c r="I33" s="196" t="inlineStr">
        <is>
          <t>THB</t>
        </is>
      </c>
      <c r="J33" s="196">
        <f>L33*7/100</f>
        <v/>
      </c>
      <c r="K33" s="197" t="n"/>
      <c r="L33" s="198" t="n">
        <v>11500</v>
      </c>
      <c r="M33" s="47" t="inlineStr">
        <is>
          <t>SOLAR</t>
        </is>
      </c>
      <c r="N33" s="199">
        <f>H33-K33</f>
        <v/>
      </c>
      <c r="O33" s="203" t="n"/>
      <c r="P33" s="40" t="n"/>
      <c r="Q33" s="27" t="n"/>
      <c r="R33" s="27" t="n"/>
      <c r="S33" s="28" t="n"/>
      <c r="T33" s="49" t="n"/>
      <c r="V33" s="204" t="n"/>
    </row>
    <row r="34">
      <c r="A34" s="29" t="n">
        <v>33</v>
      </c>
      <c r="B34" s="44" t="n">
        <v>46056</v>
      </c>
      <c r="C34" s="17" t="inlineStr">
        <is>
          <t>S 120400</t>
        </is>
      </c>
      <c r="D34" s="18" t="inlineStr">
        <is>
          <t>FARPOINTE3</t>
        </is>
      </c>
      <c r="E34" s="193" t="inlineStr">
        <is>
          <t>900-0126</t>
        </is>
      </c>
      <c r="F34" s="193" t="n">
        <v>60</v>
      </c>
      <c r="G34" s="195" t="inlineStr">
        <is>
          <t>WRR-44 PCBA 04224-001 Rev.12</t>
        </is>
      </c>
      <c r="H34" s="196" t="n">
        <v>2342.4</v>
      </c>
      <c r="I34" s="196" t="inlineStr">
        <is>
          <t>USD</t>
        </is>
      </c>
      <c r="J34" s="196" t="n"/>
      <c r="K34" s="197" t="n">
        <v>2342.4</v>
      </c>
      <c r="L34" s="198">
        <f>K34*S34</f>
        <v/>
      </c>
      <c r="M34" s="47" t="inlineStr">
        <is>
          <t>SOLAR</t>
        </is>
      </c>
      <c r="N34" s="199">
        <f>H34-K34</f>
        <v/>
      </c>
      <c r="O34" s="203" t="n"/>
      <c r="P34" s="40" t="inlineStr">
        <is>
          <t>A0041690206402</t>
        </is>
      </c>
      <c r="Q34" s="27" t="inlineStr">
        <is>
          <t>03 Feb 2026</t>
        </is>
      </c>
      <c r="R34" s="27" t="inlineStr">
        <is>
          <t>03 Feb 2026</t>
        </is>
      </c>
      <c r="S34" s="28" t="n">
        <v>31.6643</v>
      </c>
      <c r="T34" s="49" t="n"/>
      <c r="V34" s="204" t="n"/>
    </row>
    <row r="35">
      <c r="A35" s="29" t="n">
        <v>34</v>
      </c>
      <c r="B35" s="44" t="n">
        <v>46056</v>
      </c>
      <c r="C35" s="17" t="inlineStr">
        <is>
          <t>S 120400</t>
        </is>
      </c>
      <c r="D35" s="18" t="inlineStr">
        <is>
          <t>FARPOINTE3</t>
        </is>
      </c>
      <c r="E35" s="193" t="inlineStr">
        <is>
          <t>900-0126</t>
        </is>
      </c>
      <c r="F35" s="193" t="n">
        <v>100</v>
      </c>
      <c r="G35" s="195" t="inlineStr">
        <is>
          <t>WRR-44 PCBA 04224-001 Rev.12</t>
        </is>
      </c>
      <c r="H35" s="196" t="n">
        <v>3904</v>
      </c>
      <c r="I35" s="196" t="inlineStr">
        <is>
          <t>USD</t>
        </is>
      </c>
      <c r="J35" s="196" t="n"/>
      <c r="K35" s="197" t="n">
        <v>3904</v>
      </c>
      <c r="L35" s="198">
        <f>K35*S35</f>
        <v/>
      </c>
      <c r="M35" s="47" t="inlineStr">
        <is>
          <t>SOLAR</t>
        </is>
      </c>
      <c r="N35" s="199">
        <f>H35-K35</f>
        <v/>
      </c>
      <c r="O35" s="203" t="n"/>
      <c r="P35" s="40" t="inlineStr">
        <is>
          <t>A0041690206402</t>
        </is>
      </c>
      <c r="Q35" s="27" t="inlineStr">
        <is>
          <t>03 Feb 2026</t>
        </is>
      </c>
      <c r="R35" s="27" t="inlineStr">
        <is>
          <t>03 Feb 2026</t>
        </is>
      </c>
      <c r="S35" s="28" t="n">
        <v>31.6643</v>
      </c>
      <c r="T35" s="49" t="n"/>
      <c r="V35" s="204" t="n"/>
    </row>
    <row r="36">
      <c r="A36" s="29" t="n">
        <v>35</v>
      </c>
      <c r="B36" s="44" t="n">
        <v>46057</v>
      </c>
      <c r="C36" s="17" t="inlineStr">
        <is>
          <t>S 120401</t>
        </is>
      </c>
      <c r="D36" s="18" t="inlineStr">
        <is>
          <t>UMT</t>
        </is>
      </c>
      <c r="E36" s="193" t="inlineStr">
        <is>
          <t>800-0026</t>
        </is>
      </c>
      <c r="F36" s="194" t="n">
        <v>605</v>
      </c>
      <c r="G36" s="205" t="inlineStr">
        <is>
          <t>20003622-00</t>
        </is>
      </c>
      <c r="H36" s="196" t="n">
        <v>13612.5</v>
      </c>
      <c r="I36" s="196" t="inlineStr">
        <is>
          <t>USD</t>
        </is>
      </c>
      <c r="J36" s="196" t="n"/>
      <c r="K36" s="197" t="n">
        <v>13612.5</v>
      </c>
      <c r="L36" s="198">
        <f>K36*S36</f>
        <v/>
      </c>
      <c r="M36" s="47" t="inlineStr">
        <is>
          <t>SOLAR</t>
        </is>
      </c>
      <c r="N36" s="199">
        <f>H36-K36</f>
        <v/>
      </c>
      <c r="O36" s="203" t="n"/>
      <c r="P36" s="40" t="inlineStr">
        <is>
          <t>A0041690215360</t>
        </is>
      </c>
      <c r="Q36" s="27" t="inlineStr">
        <is>
          <t>03 Feb 2026</t>
        </is>
      </c>
      <c r="R36" s="27" t="inlineStr">
        <is>
          <t>03 Feb 2026</t>
        </is>
      </c>
      <c r="S36" s="28" t="n">
        <v>31.6643</v>
      </c>
      <c r="T36" s="49" t="n"/>
      <c r="V36" s="204" t="n"/>
    </row>
    <row r="37">
      <c r="A37" s="29" t="n">
        <v>36</v>
      </c>
      <c r="B37" s="44" t="n">
        <v>46057</v>
      </c>
      <c r="C37" s="17" t="inlineStr">
        <is>
          <t>S 120402</t>
        </is>
      </c>
      <c r="D37" s="18" t="inlineStr">
        <is>
          <t>UMT</t>
        </is>
      </c>
      <c r="E37" s="193" t="inlineStr">
        <is>
          <t>800-0026</t>
        </is>
      </c>
      <c r="F37" s="194" t="n">
        <v>200</v>
      </c>
      <c r="G37" s="205" t="inlineStr">
        <is>
          <t>20003622-00</t>
        </is>
      </c>
      <c r="H37" s="196" t="n">
        <v>4500</v>
      </c>
      <c r="I37" s="196" t="inlineStr">
        <is>
          <t>USD</t>
        </is>
      </c>
      <c r="J37" s="196" t="n"/>
      <c r="K37" s="197" t="n">
        <v>4500</v>
      </c>
      <c r="L37" s="198">
        <f>K37*S37</f>
        <v/>
      </c>
      <c r="M37" s="47" t="inlineStr">
        <is>
          <t>SOLAR</t>
        </is>
      </c>
      <c r="N37" s="199">
        <f>H37-K37</f>
        <v/>
      </c>
      <c r="O37" s="203" t="n"/>
      <c r="P37" s="40" t="inlineStr">
        <is>
          <t>A0041690215360</t>
        </is>
      </c>
      <c r="Q37" s="27" t="inlineStr">
        <is>
          <t>03 Feb 2026</t>
        </is>
      </c>
      <c r="R37" s="27" t="inlineStr">
        <is>
          <t>03 Feb 2026</t>
        </is>
      </c>
      <c r="S37" s="28" t="n">
        <v>31.6643</v>
      </c>
      <c r="T37" s="49" t="n"/>
      <c r="V37" s="204" t="n"/>
    </row>
    <row r="38">
      <c r="A38" s="29" t="n">
        <v>37</v>
      </c>
      <c r="B38" s="44" t="n">
        <v>46057</v>
      </c>
      <c r="C38" s="17" t="inlineStr">
        <is>
          <t>S 120403</t>
        </is>
      </c>
      <c r="D38" s="18" t="inlineStr">
        <is>
          <t>UMT</t>
        </is>
      </c>
      <c r="E38" s="193" t="inlineStr">
        <is>
          <t>800-0026</t>
        </is>
      </c>
      <c r="F38" s="194" t="n">
        <v>20</v>
      </c>
      <c r="G38" s="195" t="inlineStr">
        <is>
          <t>20003622-00</t>
        </is>
      </c>
      <c r="H38" s="196" t="n">
        <v>450</v>
      </c>
      <c r="I38" s="196" t="inlineStr">
        <is>
          <t>USD</t>
        </is>
      </c>
      <c r="J38" s="196" t="n"/>
      <c r="K38" s="197" t="n">
        <v>450</v>
      </c>
      <c r="L38" s="198">
        <f>K38*S38</f>
        <v/>
      </c>
      <c r="M38" s="47" t="inlineStr">
        <is>
          <t>SOLAR</t>
        </is>
      </c>
      <c r="N38" s="199">
        <f>H38-K38</f>
        <v/>
      </c>
      <c r="O38" s="203" t="n"/>
      <c r="P38" s="40" t="inlineStr">
        <is>
          <t>A0041690215360</t>
        </is>
      </c>
      <c r="Q38" s="27" t="inlineStr">
        <is>
          <t>03 Feb 2026</t>
        </is>
      </c>
      <c r="R38" s="27" t="inlineStr">
        <is>
          <t>03 Feb 2026</t>
        </is>
      </c>
      <c r="S38" s="28" t="n">
        <v>31.6643</v>
      </c>
      <c r="T38" s="49" t="n"/>
      <c r="V38" s="204" t="n"/>
    </row>
    <row r="39">
      <c r="A39" s="29" t="n">
        <v>38</v>
      </c>
      <c r="B39" s="44" t="n">
        <v>46059</v>
      </c>
      <c r="C39" s="17" t="inlineStr">
        <is>
          <t>S 120404</t>
        </is>
      </c>
      <c r="D39" s="18" t="inlineStr">
        <is>
          <t>UMT</t>
        </is>
      </c>
      <c r="E39" s="193" t="inlineStr">
        <is>
          <t>820-0343</t>
        </is>
      </c>
      <c r="F39" s="194" t="n">
        <v>250</v>
      </c>
      <c r="G39" s="195" t="inlineStr">
        <is>
          <t>8402613819</t>
        </is>
      </c>
      <c r="H39" s="196" t="n">
        <v>767.5</v>
      </c>
      <c r="I39" s="196" t="inlineStr">
        <is>
          <t>USD</t>
        </is>
      </c>
      <c r="J39" s="196" t="n"/>
      <c r="K39" s="197" t="n">
        <v>767.5</v>
      </c>
      <c r="L39" s="198">
        <f>K39*S39</f>
        <v/>
      </c>
      <c r="M39" s="47" t="inlineStr">
        <is>
          <t>SOLAR</t>
        </is>
      </c>
      <c r="N39" s="199">
        <f>H39-K39</f>
        <v/>
      </c>
      <c r="O39" s="203" t="n"/>
      <c r="P39" s="40" t="inlineStr">
        <is>
          <t>A0061690208689</t>
        </is>
      </c>
      <c r="Q39" s="27" t="inlineStr">
        <is>
          <t>05 Feb 2026</t>
        </is>
      </c>
      <c r="R39" s="27" t="inlineStr">
        <is>
          <t>05 Feb 2026</t>
        </is>
      </c>
      <c r="S39" s="28" t="n">
        <v>31.9231</v>
      </c>
      <c r="T39" s="49" t="n"/>
      <c r="V39" s="204" t="n"/>
    </row>
    <row r="40">
      <c r="A40" s="29" t="n">
        <v>39</v>
      </c>
      <c r="B40" s="44" t="n">
        <v>46059</v>
      </c>
      <c r="C40" s="17" t="inlineStr">
        <is>
          <t>S 120405</t>
        </is>
      </c>
      <c r="D40" s="18" t="inlineStr">
        <is>
          <t>UMT</t>
        </is>
      </c>
      <c r="E40" s="193" t="inlineStr">
        <is>
          <t>800-0039</t>
        </is>
      </c>
      <c r="F40" s="194" t="n">
        <v>450</v>
      </c>
      <c r="G40" s="195" t="inlineStr">
        <is>
          <t>20025328-00</t>
        </is>
      </c>
      <c r="H40" s="196" t="n">
        <v>10620</v>
      </c>
      <c r="I40" s="196" t="inlineStr">
        <is>
          <t>USD</t>
        </is>
      </c>
      <c r="J40" s="196" t="n"/>
      <c r="K40" s="197" t="n">
        <v>10620</v>
      </c>
      <c r="L40" s="198">
        <f>K40*S40</f>
        <v/>
      </c>
      <c r="M40" s="47" t="inlineStr">
        <is>
          <t>SOLAR</t>
        </is>
      </c>
      <c r="N40" s="199">
        <f>H40-K40</f>
        <v/>
      </c>
      <c r="O40" s="203" t="n"/>
      <c r="P40" s="40" t="inlineStr">
        <is>
          <t>A0061690208689</t>
        </is>
      </c>
      <c r="Q40" s="27" t="inlineStr">
        <is>
          <t>05 Feb 2026</t>
        </is>
      </c>
      <c r="R40" s="27" t="inlineStr">
        <is>
          <t>05 Feb 2026</t>
        </is>
      </c>
      <c r="S40" s="28" t="n">
        <v>31.9231</v>
      </c>
      <c r="U40" s="62" t="n"/>
      <c r="V40" s="204" t="n"/>
    </row>
    <row r="41" customFormat="1" s="62">
      <c r="A41" s="29" t="n">
        <v>40</v>
      </c>
      <c r="B41" s="44" t="n">
        <v>46059</v>
      </c>
      <c r="C41" s="17" t="inlineStr">
        <is>
          <t>S 120406</t>
        </is>
      </c>
      <c r="D41" s="18" t="inlineStr">
        <is>
          <t>UMT</t>
        </is>
      </c>
      <c r="E41" s="193" t="inlineStr">
        <is>
          <t>800-0041</t>
        </is>
      </c>
      <c r="F41" s="194" t="n">
        <v>18</v>
      </c>
      <c r="G41" s="195" t="inlineStr">
        <is>
          <t>20026730-00</t>
        </is>
      </c>
      <c r="H41" s="196" t="n">
        <v>408.6</v>
      </c>
      <c r="I41" s="196" t="inlineStr">
        <is>
          <t>USD</t>
        </is>
      </c>
      <c r="J41" s="196" t="n"/>
      <c r="K41" s="197" t="n">
        <v>408.6</v>
      </c>
      <c r="L41" s="198">
        <f>K41*S41</f>
        <v/>
      </c>
      <c r="M41" s="47" t="inlineStr">
        <is>
          <t>SOLAR</t>
        </is>
      </c>
      <c r="N41" s="199">
        <f>H41-K41</f>
        <v/>
      </c>
      <c r="O41" s="203" t="n"/>
      <c r="P41" s="40" t="inlineStr">
        <is>
          <t>A0061690208689</t>
        </is>
      </c>
      <c r="Q41" s="27" t="inlineStr">
        <is>
          <t>05 Feb 2026</t>
        </is>
      </c>
      <c r="R41" s="27" t="inlineStr">
        <is>
          <t>05 Feb 2026</t>
        </is>
      </c>
      <c r="S41" s="28" t="n">
        <v>31.9231</v>
      </c>
      <c r="U41" s="184" t="n"/>
      <c r="V41" s="204" t="n"/>
      <c r="X41" s="43" t="n"/>
    </row>
    <row r="42" customFormat="1" s="62">
      <c r="A42" s="29" t="n">
        <v>41</v>
      </c>
      <c r="B42" s="44" t="n">
        <v>46059</v>
      </c>
      <c r="C42" s="17" t="inlineStr">
        <is>
          <t>S 120407</t>
        </is>
      </c>
      <c r="D42" s="18" t="inlineStr">
        <is>
          <t>UMT</t>
        </is>
      </c>
      <c r="E42" s="209" t="inlineStr">
        <is>
          <t>800-0041</t>
        </is>
      </c>
      <c r="F42" s="210" t="n">
        <v>375</v>
      </c>
      <c r="G42" s="195" t="inlineStr">
        <is>
          <t>20026730-00</t>
        </is>
      </c>
      <c r="H42" s="197" t="n">
        <v>8512.5</v>
      </c>
      <c r="I42" s="197" t="inlineStr">
        <is>
          <t>USD</t>
        </is>
      </c>
      <c r="J42" s="198" t="n"/>
      <c r="K42" s="197" t="n">
        <v>8512.5</v>
      </c>
      <c r="L42" s="198">
        <f>K42*S42</f>
        <v/>
      </c>
      <c r="M42" s="47" t="inlineStr">
        <is>
          <t>SOLAR</t>
        </is>
      </c>
      <c r="N42" s="199">
        <f>H42-K42</f>
        <v/>
      </c>
      <c r="O42" s="203" t="n"/>
      <c r="P42" s="40" t="inlineStr">
        <is>
          <t>A0061690208689</t>
        </is>
      </c>
      <c r="Q42" s="27" t="inlineStr">
        <is>
          <t>05 Feb 2026</t>
        </is>
      </c>
      <c r="R42" s="27" t="inlineStr">
        <is>
          <t>05 Feb 2026</t>
        </is>
      </c>
      <c r="S42" s="28" t="n">
        <v>31.9231</v>
      </c>
      <c r="T42" s="49" t="n"/>
      <c r="U42" s="202" t="n"/>
      <c r="V42" s="204" t="n"/>
      <c r="W42" s="43" t="n"/>
    </row>
    <row r="43">
      <c r="A43" s="29" t="n">
        <v>42</v>
      </c>
      <c r="B43" s="44" t="n">
        <v>46059</v>
      </c>
      <c r="C43" s="17" t="inlineStr">
        <is>
          <t>S 120408</t>
        </is>
      </c>
      <c r="D43" s="18" t="inlineStr">
        <is>
          <t>UMT</t>
        </is>
      </c>
      <c r="E43" s="193" t="inlineStr">
        <is>
          <t>800-0041</t>
        </is>
      </c>
      <c r="F43" s="194" t="n">
        <v>427</v>
      </c>
      <c r="G43" s="195" t="inlineStr">
        <is>
          <t>20026730-00</t>
        </is>
      </c>
      <c r="H43" s="196" t="n">
        <v>9692.9</v>
      </c>
      <c r="I43" s="196" t="inlineStr">
        <is>
          <t>USD</t>
        </is>
      </c>
      <c r="J43" s="196" t="n"/>
      <c r="K43" s="197" t="n">
        <v>9692.9</v>
      </c>
      <c r="L43" s="198">
        <f>K43*S43</f>
        <v/>
      </c>
      <c r="M43" s="47" t="inlineStr">
        <is>
          <t>SOLAR</t>
        </is>
      </c>
      <c r="N43" s="199">
        <f>H43-K43</f>
        <v/>
      </c>
      <c r="O43" s="203" t="n"/>
      <c r="P43" s="40" t="inlineStr">
        <is>
          <t>A0061690208689</t>
        </is>
      </c>
      <c r="Q43" s="27" t="inlineStr">
        <is>
          <t>05 Feb 2026</t>
        </is>
      </c>
      <c r="R43" s="27" t="inlineStr">
        <is>
          <t>05 Feb 2026</t>
        </is>
      </c>
      <c r="S43" s="28" t="n">
        <v>31.9231</v>
      </c>
      <c r="T43" s="49" t="n"/>
      <c r="U43" s="202" t="n"/>
      <c r="V43" s="204" t="n"/>
      <c r="W43" s="62" t="n"/>
      <c r="X43" s="62" t="n"/>
    </row>
    <row r="44" customFormat="1" s="62">
      <c r="A44" s="29" t="n">
        <v>43</v>
      </c>
      <c r="B44" s="44" t="n">
        <v>46062</v>
      </c>
      <c r="C44" s="17" t="inlineStr">
        <is>
          <t>S 120409</t>
        </is>
      </c>
      <c r="D44" s="18" t="inlineStr">
        <is>
          <t>UMT</t>
        </is>
      </c>
      <c r="E44" s="209" t="inlineStr">
        <is>
          <t>800-0039</t>
        </is>
      </c>
      <c r="F44" s="210" t="n">
        <v>398</v>
      </c>
      <c r="G44" s="211" t="inlineStr">
        <is>
          <t>20025328-00</t>
        </is>
      </c>
      <c r="H44" s="197" t="n">
        <v>9392.799999999999</v>
      </c>
      <c r="I44" s="197" t="inlineStr">
        <is>
          <t>USD</t>
        </is>
      </c>
      <c r="J44" s="197" t="n"/>
      <c r="K44" s="197" t="n">
        <v>9392.799999999999</v>
      </c>
      <c r="L44" s="198">
        <f>K44*S44</f>
        <v/>
      </c>
      <c r="M44" s="47" t="inlineStr">
        <is>
          <t>SOLAR</t>
        </is>
      </c>
      <c r="N44" s="199">
        <f>H44-K44</f>
        <v/>
      </c>
      <c r="O44" s="203" t="n"/>
      <c r="P44" s="40" t="inlineStr">
        <is>
          <t>A0101690206897</t>
        </is>
      </c>
      <c r="Q44" s="27" t="inlineStr">
        <is>
          <t>09 Feb 2026</t>
        </is>
      </c>
      <c r="R44" s="27" t="inlineStr">
        <is>
          <t>09 Feb 2026</t>
        </is>
      </c>
      <c r="S44" s="28" t="n">
        <v>31.498</v>
      </c>
      <c r="T44" s="65" t="n"/>
      <c r="U44" s="184" t="n"/>
      <c r="V44" s="204" t="n"/>
    </row>
    <row r="45">
      <c r="A45" s="29" t="n">
        <v>44</v>
      </c>
      <c r="B45" s="44" t="n">
        <v>46062</v>
      </c>
      <c r="C45" s="17" t="inlineStr">
        <is>
          <t>S 120410</t>
        </is>
      </c>
      <c r="D45" s="18" t="inlineStr">
        <is>
          <t>UMT</t>
        </is>
      </c>
      <c r="E45" s="193" t="inlineStr">
        <is>
          <t>800-0039</t>
        </is>
      </c>
      <c r="F45" s="194" t="n">
        <v>96</v>
      </c>
      <c r="G45" s="195" t="inlineStr">
        <is>
          <t>20025328-00</t>
        </is>
      </c>
      <c r="H45" s="196" t="n">
        <v>2265.6</v>
      </c>
      <c r="I45" s="196" t="inlineStr">
        <is>
          <t>USD</t>
        </is>
      </c>
      <c r="J45" s="196" t="n"/>
      <c r="K45" s="197" t="n">
        <v>2265.6</v>
      </c>
      <c r="L45" s="198">
        <f>K45*S45</f>
        <v/>
      </c>
      <c r="M45" s="47" t="inlineStr">
        <is>
          <t>SOLAR</t>
        </is>
      </c>
      <c r="N45" s="199">
        <f>H45-K45</f>
        <v/>
      </c>
      <c r="O45" s="203" t="n"/>
      <c r="P45" s="40" t="inlineStr">
        <is>
          <t>A0101690206897</t>
        </is>
      </c>
      <c r="Q45" s="27" t="inlineStr">
        <is>
          <t>09 Feb 2026</t>
        </is>
      </c>
      <c r="R45" s="27" t="inlineStr">
        <is>
          <t>09 Feb 2026</t>
        </is>
      </c>
      <c r="S45" s="28" t="n">
        <v>31.498</v>
      </c>
      <c r="T45" s="49" t="n"/>
      <c r="V45" s="204" t="n"/>
    </row>
    <row r="46">
      <c r="A46" s="29" t="n">
        <v>45</v>
      </c>
      <c r="B46" s="44" t="n">
        <v>46062</v>
      </c>
      <c r="C46" s="17" t="inlineStr">
        <is>
          <t>S 120411</t>
        </is>
      </c>
      <c r="D46" s="18" t="inlineStr">
        <is>
          <t>UMT</t>
        </is>
      </c>
      <c r="E46" s="193" t="inlineStr">
        <is>
          <t>800-0042</t>
        </is>
      </c>
      <c r="F46" s="194" t="n">
        <v>313</v>
      </c>
      <c r="G46" s="195" t="inlineStr">
        <is>
          <t>20028227-00</t>
        </is>
      </c>
      <c r="H46" s="196" t="n">
        <v>7355.5</v>
      </c>
      <c r="I46" s="196" t="inlineStr">
        <is>
          <t>USD</t>
        </is>
      </c>
      <c r="J46" s="196" t="n"/>
      <c r="K46" s="197" t="n">
        <v>7355.5</v>
      </c>
      <c r="L46" s="198">
        <f>K46*S46</f>
        <v/>
      </c>
      <c r="M46" s="47" t="inlineStr">
        <is>
          <t>SOLAR</t>
        </is>
      </c>
      <c r="N46" s="199">
        <f>H46-K46</f>
        <v/>
      </c>
      <c r="O46" s="203" t="n"/>
      <c r="P46" s="40" t="inlineStr">
        <is>
          <t>A0101690206897</t>
        </is>
      </c>
      <c r="Q46" s="27" t="inlineStr">
        <is>
          <t>09 Feb 2026</t>
        </is>
      </c>
      <c r="R46" s="27" t="inlineStr">
        <is>
          <t>09 Feb 2026</t>
        </is>
      </c>
      <c r="S46" s="28" t="n">
        <v>31.498</v>
      </c>
      <c r="T46" s="49" t="n"/>
      <c r="V46" s="204" t="n"/>
    </row>
    <row r="47">
      <c r="A47" s="29" t="n">
        <v>46</v>
      </c>
      <c r="B47" s="44" t="n">
        <v>46063</v>
      </c>
      <c r="C47" s="17" t="inlineStr">
        <is>
          <t>S 120412</t>
        </is>
      </c>
      <c r="D47" s="18" t="inlineStr">
        <is>
          <t>PLYMOVENT</t>
        </is>
      </c>
      <c r="E47" s="193" t="inlineStr">
        <is>
          <t>900-0131</t>
        </is>
      </c>
      <c r="F47" s="194" t="n">
        <v>20</v>
      </c>
      <c r="G47" s="195" t="inlineStr">
        <is>
          <t>Potentiometer PCB HVU</t>
        </is>
      </c>
      <c r="H47" s="196" t="n">
        <v>3210</v>
      </c>
      <c r="I47" s="196" t="inlineStr">
        <is>
          <t>THB</t>
        </is>
      </c>
      <c r="J47" s="196">
        <f>L47*7/100</f>
        <v/>
      </c>
      <c r="K47" s="197" t="n"/>
      <c r="L47" s="198" t="n">
        <v>3000</v>
      </c>
      <c r="M47" s="47" t="inlineStr">
        <is>
          <t>SOLAR</t>
        </is>
      </c>
      <c r="N47" s="199">
        <f>H47-K47</f>
        <v/>
      </c>
      <c r="O47" s="203" t="n"/>
      <c r="P47" s="40" t="n"/>
      <c r="Q47" s="27" t="n"/>
      <c r="R47" s="27" t="n"/>
      <c r="S47" s="28" t="n"/>
      <c r="T47" s="49" t="n"/>
      <c r="V47" s="204" t="n"/>
    </row>
    <row r="48">
      <c r="A48" s="29" t="n">
        <v>47</v>
      </c>
      <c r="B48" s="44" t="n">
        <v>46063</v>
      </c>
      <c r="C48" s="17" t="inlineStr">
        <is>
          <t>S 120413</t>
        </is>
      </c>
      <c r="D48" s="18" t="inlineStr">
        <is>
          <t>PLYMOVENT</t>
        </is>
      </c>
      <c r="E48" s="193" t="inlineStr">
        <is>
          <t>311-1691</t>
        </is>
      </c>
      <c r="F48" s="194" t="n">
        <v>1</v>
      </c>
      <c r="G48" s="195" t="inlineStr">
        <is>
          <t>Stencil Potmeter - Bottom side</t>
        </is>
      </c>
      <c r="H48" s="196" t="n">
        <v>12305</v>
      </c>
      <c r="I48" s="196" t="inlineStr">
        <is>
          <t>THB</t>
        </is>
      </c>
      <c r="J48" s="196">
        <f>L48*7/100</f>
        <v/>
      </c>
      <c r="K48" s="197" t="n"/>
      <c r="L48" s="198" t="n">
        <v>11500</v>
      </c>
      <c r="M48" s="47" t="inlineStr">
        <is>
          <t>NONB</t>
        </is>
      </c>
      <c r="N48" s="199">
        <f>H48-K48</f>
        <v/>
      </c>
      <c r="O48" s="203" t="n"/>
      <c r="P48" s="40" t="n"/>
      <c r="Q48" s="27" t="n"/>
      <c r="R48" s="27" t="n"/>
      <c r="S48" s="28" t="n"/>
      <c r="T48" s="49" t="n"/>
      <c r="U48" s="202" t="n"/>
      <c r="V48" s="204" t="n"/>
    </row>
    <row r="49">
      <c r="A49" s="29" t="n">
        <v>48</v>
      </c>
      <c r="B49" s="44" t="n">
        <v>46063</v>
      </c>
      <c r="C49" s="17" t="inlineStr">
        <is>
          <t>S 120414</t>
        </is>
      </c>
      <c r="D49" s="18" t="inlineStr">
        <is>
          <t>BLUECHIPS2</t>
        </is>
      </c>
      <c r="E49" s="193" t="inlineStr">
        <is>
          <t>840-0193</t>
        </is>
      </c>
      <c r="F49" s="194" t="n">
        <v>150</v>
      </c>
      <c r="G49" s="195" t="inlineStr">
        <is>
          <t>Cable/Lenz Module for BlueChips</t>
        </is>
      </c>
      <c r="H49" s="196" t="n">
        <v>3210</v>
      </c>
      <c r="I49" s="196" t="inlineStr">
        <is>
          <t>THB</t>
        </is>
      </c>
      <c r="J49" s="196">
        <f>L49*7/100</f>
        <v/>
      </c>
      <c r="K49" s="197" t="n"/>
      <c r="L49" s="198" t="n">
        <v>3000</v>
      </c>
      <c r="M49" s="47" t="inlineStr">
        <is>
          <t>NONB</t>
        </is>
      </c>
      <c r="N49" s="199">
        <f>H49-K49</f>
        <v/>
      </c>
      <c r="O49" s="203" t="n"/>
      <c r="P49" s="40" t="n"/>
      <c r="Q49" s="27" t="n"/>
      <c r="R49" s="27" t="n"/>
      <c r="S49" s="28" t="n"/>
      <c r="T49" s="65" t="n"/>
      <c r="U49" s="202" t="n"/>
      <c r="V49" s="204" t="n"/>
    </row>
    <row r="50">
      <c r="A50" s="29" t="n">
        <v>49</v>
      </c>
      <c r="B50" s="44" t="n">
        <v>46063</v>
      </c>
      <c r="C50" s="17" t="inlineStr">
        <is>
          <t>S 120415</t>
        </is>
      </c>
      <c r="D50" s="18" t="inlineStr">
        <is>
          <t>WAGENE2</t>
        </is>
      </c>
      <c r="E50" s="193" t="inlineStr">
        <is>
          <t>840-0223</t>
        </is>
      </c>
      <c r="F50" s="194" t="n">
        <v>2300</v>
      </c>
      <c r="G50" s="195" t="inlineStr">
        <is>
          <t>SECA 08-06-16-685</t>
        </is>
      </c>
      <c r="H50" s="196" t="n">
        <v>2944</v>
      </c>
      <c r="I50" s="196" t="inlineStr">
        <is>
          <t>EUR</t>
        </is>
      </c>
      <c r="J50" s="196" t="n"/>
      <c r="K50" s="197" t="n">
        <v>2944</v>
      </c>
      <c r="L50" s="198">
        <f>K50*S50</f>
        <v/>
      </c>
      <c r="M50" s="47" t="inlineStr">
        <is>
          <t>SOLAR</t>
        </is>
      </c>
      <c r="N50" s="199">
        <f>H50-K50</f>
        <v/>
      </c>
      <c r="O50" s="203" t="n"/>
      <c r="P50" s="40" t="inlineStr">
        <is>
          <t>A012-16902-12829</t>
        </is>
      </c>
      <c r="Q50" s="27" t="inlineStr">
        <is>
          <t>11 Feb 2026</t>
        </is>
      </c>
      <c r="R50" s="27" t="inlineStr">
        <is>
          <t>11 Feb 2026</t>
        </is>
      </c>
      <c r="S50" s="28" t="n">
        <v>37.4009</v>
      </c>
      <c r="T50" s="65" t="n"/>
      <c r="V50" s="204" t="n"/>
    </row>
    <row r="51">
      <c r="A51" s="29" t="n">
        <v>50</v>
      </c>
      <c r="B51" s="44" t="n">
        <v>46063</v>
      </c>
      <c r="C51" s="17" t="inlineStr">
        <is>
          <t>S 120416</t>
        </is>
      </c>
      <c r="D51" s="18" t="inlineStr">
        <is>
          <t>WAGENE2</t>
        </is>
      </c>
      <c r="E51" s="193" t="inlineStr">
        <is>
          <t>840-0253</t>
        </is>
      </c>
      <c r="F51" s="194" t="n">
        <v>500</v>
      </c>
      <c r="G51" s="195" t="inlineStr">
        <is>
          <t>SECA 08-06-16-696</t>
        </is>
      </c>
      <c r="H51" s="196" t="n">
        <v>70</v>
      </c>
      <c r="I51" s="196" t="inlineStr">
        <is>
          <t>EUR</t>
        </is>
      </c>
      <c r="J51" s="196" t="n"/>
      <c r="K51" s="197" t="n">
        <v>70</v>
      </c>
      <c r="L51" s="198">
        <f>K51*S51</f>
        <v/>
      </c>
      <c r="M51" s="47" t="inlineStr">
        <is>
          <t>SOLAR</t>
        </is>
      </c>
      <c r="N51" s="199">
        <f>H51-K51</f>
        <v/>
      </c>
      <c r="O51" s="203" t="n"/>
      <c r="P51" s="40" t="inlineStr">
        <is>
          <t>A012-16902-12829</t>
        </is>
      </c>
      <c r="Q51" s="27" t="inlineStr">
        <is>
          <t>11 Feb 2026</t>
        </is>
      </c>
      <c r="R51" s="27" t="inlineStr">
        <is>
          <t>11 Feb 2026</t>
        </is>
      </c>
      <c r="S51" s="28" t="n">
        <v>37.4009</v>
      </c>
      <c r="T51" s="49" t="n"/>
      <c r="U51" s="202" t="n"/>
      <c r="V51" s="204" t="n"/>
    </row>
    <row r="52">
      <c r="A52" s="29" t="n">
        <v>51</v>
      </c>
      <c r="B52" s="44" t="n">
        <v>46063</v>
      </c>
      <c r="C52" s="17" t="inlineStr">
        <is>
          <t>S 120416</t>
        </is>
      </c>
      <c r="D52" s="18" t="inlineStr">
        <is>
          <t>WAGENE2</t>
        </is>
      </c>
      <c r="E52" s="194" t="inlineStr">
        <is>
          <t>840-0256</t>
        </is>
      </c>
      <c r="F52" s="193" t="n">
        <v>500</v>
      </c>
      <c r="G52" s="195" t="inlineStr">
        <is>
          <t>SECA 08-06-16-700</t>
        </is>
      </c>
      <c r="H52" s="196" t="n">
        <v>445</v>
      </c>
      <c r="I52" s="196" t="inlineStr">
        <is>
          <t>EUR</t>
        </is>
      </c>
      <c r="J52" s="196" t="n"/>
      <c r="K52" s="197" t="n">
        <v>445</v>
      </c>
      <c r="L52" s="198">
        <f>K52*S52</f>
        <v/>
      </c>
      <c r="M52" s="47" t="inlineStr">
        <is>
          <t>SOLAR</t>
        </is>
      </c>
      <c r="N52" s="199">
        <f>H52-K52</f>
        <v/>
      </c>
      <c r="O52" s="203" t="n"/>
      <c r="P52" s="40" t="inlineStr">
        <is>
          <t>A012-16902-12829</t>
        </is>
      </c>
      <c r="Q52" s="27" t="inlineStr">
        <is>
          <t>11 Feb 2026</t>
        </is>
      </c>
      <c r="R52" s="27" t="inlineStr">
        <is>
          <t>11 Feb 2026</t>
        </is>
      </c>
      <c r="S52" s="28" t="n">
        <v>37.4009</v>
      </c>
      <c r="T52" s="49" t="n"/>
      <c r="U52" s="202" t="n"/>
      <c r="V52" s="204" t="n"/>
      <c r="W52" s="62" t="n"/>
    </row>
    <row r="53">
      <c r="A53" s="29" t="n">
        <v>52</v>
      </c>
      <c r="B53" s="44" t="n">
        <v>46063</v>
      </c>
      <c r="C53" s="17" t="inlineStr">
        <is>
          <t>S 120416</t>
        </is>
      </c>
      <c r="D53" s="18" t="inlineStr">
        <is>
          <t>WAGENE2</t>
        </is>
      </c>
      <c r="E53" s="194" t="inlineStr">
        <is>
          <t>840-0257</t>
        </is>
      </c>
      <c r="F53" s="193" t="n">
        <v>500</v>
      </c>
      <c r="G53" s="195" t="inlineStr">
        <is>
          <t>SECA 08-06-16-701</t>
        </is>
      </c>
      <c r="H53" s="196" t="n">
        <v>635</v>
      </c>
      <c r="I53" s="196" t="inlineStr">
        <is>
          <t>EUR</t>
        </is>
      </c>
      <c r="J53" s="196" t="n"/>
      <c r="K53" s="197" t="n">
        <v>635</v>
      </c>
      <c r="L53" s="198">
        <f>K53*S53</f>
        <v/>
      </c>
      <c r="M53" s="47" t="inlineStr">
        <is>
          <t>SOLAR</t>
        </is>
      </c>
      <c r="N53" s="199">
        <f>H53-K53</f>
        <v/>
      </c>
      <c r="O53" s="203" t="n"/>
      <c r="P53" s="40" t="inlineStr">
        <is>
          <t>A012-16902-12829</t>
        </is>
      </c>
      <c r="Q53" s="27" t="inlineStr">
        <is>
          <t>11 Feb 2026</t>
        </is>
      </c>
      <c r="R53" s="27" t="inlineStr">
        <is>
          <t>11 Feb 2026</t>
        </is>
      </c>
      <c r="S53" s="28" t="n">
        <v>37.4009</v>
      </c>
      <c r="T53" s="49" t="n"/>
      <c r="U53" s="202" t="n"/>
      <c r="V53" s="204" t="n"/>
      <c r="W53" s="62" t="n"/>
    </row>
    <row r="54">
      <c r="A54" s="29" t="n">
        <v>53</v>
      </c>
      <c r="B54" s="44" t="n">
        <v>46063</v>
      </c>
      <c r="C54" s="17" t="inlineStr">
        <is>
          <t>S 120417</t>
        </is>
      </c>
      <c r="D54" s="18" t="inlineStr">
        <is>
          <t>WAGENE2</t>
        </is>
      </c>
      <c r="E54" s="194" t="inlineStr">
        <is>
          <t>840-0271</t>
        </is>
      </c>
      <c r="F54" s="193" t="n">
        <v>1000</v>
      </c>
      <c r="G54" s="195" t="inlineStr">
        <is>
          <t>SECA 08-06-16-516</t>
        </is>
      </c>
      <c r="H54" s="196" t="n">
        <v>1990</v>
      </c>
      <c r="I54" s="196" t="inlineStr">
        <is>
          <t>EUR</t>
        </is>
      </c>
      <c r="J54" s="196" t="n"/>
      <c r="K54" s="197" t="n">
        <v>1990</v>
      </c>
      <c r="L54" s="198">
        <f>K54*S54</f>
        <v/>
      </c>
      <c r="M54" s="47" t="inlineStr">
        <is>
          <t>SOLAR</t>
        </is>
      </c>
      <c r="N54" s="199">
        <f>H54-K54</f>
        <v/>
      </c>
      <c r="O54" s="203" t="n"/>
      <c r="P54" s="40" t="inlineStr">
        <is>
          <t>A012-16902-12829</t>
        </is>
      </c>
      <c r="Q54" s="27" t="inlineStr">
        <is>
          <t>11 Feb 2026</t>
        </is>
      </c>
      <c r="R54" s="27" t="inlineStr">
        <is>
          <t>11 Feb 2026</t>
        </is>
      </c>
      <c r="S54" s="28" t="n">
        <v>37.4009</v>
      </c>
      <c r="T54" s="49" t="n"/>
      <c r="U54" s="202" t="n"/>
      <c r="V54" s="204" t="n"/>
      <c r="W54" s="62" t="n"/>
    </row>
    <row r="55">
      <c r="A55" s="29" t="n">
        <v>54</v>
      </c>
      <c r="B55" s="44" t="n">
        <v>46064</v>
      </c>
      <c r="C55" s="17" t="inlineStr">
        <is>
          <t>S 120418</t>
        </is>
      </c>
      <c r="D55" s="18" t="inlineStr">
        <is>
          <t>UMT</t>
        </is>
      </c>
      <c r="E55" s="194" t="inlineStr">
        <is>
          <t>720-0178</t>
        </is>
      </c>
      <c r="F55" s="193" t="n">
        <v>540</v>
      </c>
      <c r="G55" s="195" t="inlineStr">
        <is>
          <t>20026016-03 Cable harness H7 CTT</t>
        </is>
      </c>
      <c r="H55" s="196" t="n">
        <v>2646</v>
      </c>
      <c r="I55" s="196" t="inlineStr">
        <is>
          <t>USD</t>
        </is>
      </c>
      <c r="J55" s="196" t="n"/>
      <c r="K55" s="197" t="n">
        <v>2646</v>
      </c>
      <c r="L55" s="198">
        <f>K55*S55</f>
        <v/>
      </c>
      <c r="M55" s="47" t="inlineStr">
        <is>
          <t>SOLAR</t>
        </is>
      </c>
      <c r="N55" s="199">
        <f>H55-K55</f>
        <v/>
      </c>
      <c r="O55" s="203" t="n"/>
      <c r="P55" s="40" t="inlineStr">
        <is>
          <t>A0111690206967</t>
        </is>
      </c>
      <c r="Q55" s="27" t="inlineStr">
        <is>
          <t>10 Feb 2026</t>
        </is>
      </c>
      <c r="R55" s="27" t="inlineStr">
        <is>
          <t>10 Feb 2026</t>
        </is>
      </c>
      <c r="S55" s="28" t="n">
        <v>31.3029</v>
      </c>
      <c r="T55" s="49" t="n"/>
      <c r="V55" s="204" t="n"/>
      <c r="W55" s="62" t="n"/>
    </row>
    <row r="56">
      <c r="A56" s="29" t="n">
        <v>55</v>
      </c>
      <c r="B56" s="44" t="n">
        <v>46064</v>
      </c>
      <c r="C56" s="17" t="inlineStr">
        <is>
          <t>S 120419</t>
        </is>
      </c>
      <c r="D56" s="18" t="inlineStr">
        <is>
          <t>UMT</t>
        </is>
      </c>
      <c r="E56" s="194" t="inlineStr">
        <is>
          <t>800-0026</t>
        </is>
      </c>
      <c r="F56" s="193" t="n">
        <v>392</v>
      </c>
      <c r="G56" s="195" t="inlineStr">
        <is>
          <t>20003622-00</t>
        </is>
      </c>
      <c r="H56" s="196" t="n">
        <v>8820</v>
      </c>
      <c r="I56" s="196" t="inlineStr">
        <is>
          <t>USD</t>
        </is>
      </c>
      <c r="J56" s="196" t="n"/>
      <c r="K56" s="197" t="n">
        <v>8820</v>
      </c>
      <c r="L56" s="198">
        <f>K56*S56</f>
        <v/>
      </c>
      <c r="M56" s="47" t="inlineStr">
        <is>
          <t>SOLAR</t>
        </is>
      </c>
      <c r="N56" s="199">
        <f>H56-K56</f>
        <v/>
      </c>
      <c r="O56" s="203" t="n"/>
      <c r="P56" s="40" t="inlineStr">
        <is>
          <t>A0111690208732</t>
        </is>
      </c>
      <c r="Q56" s="27" t="inlineStr">
        <is>
          <t>10 Feb 2026</t>
        </is>
      </c>
      <c r="R56" s="27" t="inlineStr">
        <is>
          <t>10 Feb 2026</t>
        </is>
      </c>
      <c r="S56" s="28" t="n">
        <v>31.3029</v>
      </c>
      <c r="T56" s="49" t="n"/>
      <c r="V56" s="204" t="n"/>
    </row>
    <row r="57">
      <c r="A57" s="29" t="n">
        <v>56</v>
      </c>
      <c r="B57" s="44" t="n">
        <v>46065</v>
      </c>
      <c r="C57" s="17" t="inlineStr">
        <is>
          <t>S 120420</t>
        </is>
      </c>
      <c r="D57" s="18" t="inlineStr">
        <is>
          <t>FARPOINTE3</t>
        </is>
      </c>
      <c r="E57" s="194" t="inlineStr">
        <is>
          <t>890-0055</t>
        </is>
      </c>
      <c r="F57" s="193" t="n">
        <v>20</v>
      </c>
      <c r="G57" s="195" t="inlineStr">
        <is>
          <t>PCBA ATF-Access Pro V.2.84, Ship kit</t>
        </is>
      </c>
      <c r="H57" s="196" t="n">
        <v>3096</v>
      </c>
      <c r="I57" s="196" t="inlineStr">
        <is>
          <t>USD</t>
        </is>
      </c>
      <c r="J57" s="196" t="n"/>
      <c r="K57" s="197" t="n">
        <v>3096</v>
      </c>
      <c r="L57" s="198">
        <f>K57*S57</f>
        <v/>
      </c>
      <c r="M57" s="47" t="inlineStr">
        <is>
          <t>SOLAR</t>
        </is>
      </c>
      <c r="N57" s="199">
        <f>H57-K57</f>
        <v/>
      </c>
      <c r="O57" s="203" t="n"/>
      <c r="P57" s="40" t="inlineStr">
        <is>
          <t>A0121690213245</t>
        </is>
      </c>
      <c r="Q57" s="27" t="inlineStr">
        <is>
          <t>11 Feb 2026</t>
        </is>
      </c>
      <c r="R57" s="27" t="inlineStr">
        <is>
          <t>11 Feb 2026</t>
        </is>
      </c>
      <c r="S57" s="28" t="n">
        <v>31.3133</v>
      </c>
      <c r="T57" s="49" t="n"/>
      <c r="V57" s="204" t="n"/>
    </row>
    <row r="58">
      <c r="A58" s="29" t="n">
        <v>57</v>
      </c>
      <c r="B58" s="44" t="n">
        <v>46065</v>
      </c>
      <c r="C58" s="17" t="inlineStr">
        <is>
          <t>S 120421</t>
        </is>
      </c>
      <c r="D58" s="18" t="inlineStr">
        <is>
          <t>UMT</t>
        </is>
      </c>
      <c r="E58" s="194" t="inlineStr">
        <is>
          <t>825-0747</t>
        </is>
      </c>
      <c r="F58" s="193" t="n">
        <v>200</v>
      </c>
      <c r="G58" s="195" t="inlineStr">
        <is>
          <t>20026732-00</t>
        </is>
      </c>
      <c r="H58" s="196" t="n">
        <v>436</v>
      </c>
      <c r="I58" s="196" t="inlineStr">
        <is>
          <t>USD</t>
        </is>
      </c>
      <c r="J58" s="196" t="n"/>
      <c r="K58" s="197" t="n">
        <v>436</v>
      </c>
      <c r="L58" s="198">
        <f>K58*S58</f>
        <v/>
      </c>
      <c r="M58" s="47" t="inlineStr">
        <is>
          <t>SOLAR</t>
        </is>
      </c>
      <c r="N58" s="199">
        <f>H58-K58</f>
        <v/>
      </c>
      <c r="O58" s="203" t="n"/>
      <c r="P58" s="40" t="inlineStr">
        <is>
          <t>A0121690210925</t>
        </is>
      </c>
      <c r="Q58" s="27" t="inlineStr">
        <is>
          <t>11 Feb 2026</t>
        </is>
      </c>
      <c r="R58" s="27" t="inlineStr">
        <is>
          <t>11 Feb 2026</t>
        </is>
      </c>
      <c r="S58" s="28" t="n">
        <v>31.3133</v>
      </c>
      <c r="T58" s="49" t="n"/>
      <c r="V58" s="204" t="n"/>
    </row>
    <row r="59">
      <c r="A59" s="29" t="n">
        <v>58</v>
      </c>
      <c r="B59" s="44" t="n">
        <v>46065</v>
      </c>
      <c r="C59" s="17" t="inlineStr">
        <is>
          <t>S 120422</t>
        </is>
      </c>
      <c r="D59" s="18" t="inlineStr">
        <is>
          <t>UMT</t>
        </is>
      </c>
      <c r="E59" s="194" t="inlineStr">
        <is>
          <t>825-0734</t>
        </is>
      </c>
      <c r="F59" s="193" t="n">
        <v>1000</v>
      </c>
      <c r="G59" s="195" t="inlineStr">
        <is>
          <t>G-F0572 :WIRE HARNESS</t>
        </is>
      </c>
      <c r="H59" s="196" t="n">
        <v>2200</v>
      </c>
      <c r="I59" s="196" t="inlineStr">
        <is>
          <t>USD</t>
        </is>
      </c>
      <c r="J59" s="196" t="n"/>
      <c r="K59" s="197" t="n">
        <v>2200</v>
      </c>
      <c r="L59" s="198">
        <f>K59*S59</f>
        <v/>
      </c>
      <c r="M59" s="47" t="inlineStr">
        <is>
          <t>SOLAR</t>
        </is>
      </c>
      <c r="N59" s="199">
        <f>H59-K59</f>
        <v/>
      </c>
      <c r="O59" s="203" t="n"/>
      <c r="P59" s="40" t="inlineStr">
        <is>
          <t>A0131690209636</t>
        </is>
      </c>
      <c r="Q59" s="27" t="inlineStr">
        <is>
          <t>12 Feb 2026</t>
        </is>
      </c>
      <c r="R59" s="27" t="inlineStr">
        <is>
          <t>12 Feb 2026</t>
        </is>
      </c>
      <c r="S59" s="28" t="n">
        <v>31.2175</v>
      </c>
      <c r="T59" s="49" t="n"/>
      <c r="V59" s="204" t="n"/>
    </row>
    <row r="60">
      <c r="A60" s="29" t="n">
        <v>59</v>
      </c>
      <c r="B60" s="44" t="n">
        <v>46065</v>
      </c>
      <c r="C60" s="17" t="inlineStr">
        <is>
          <t>S 120423</t>
        </is>
      </c>
      <c r="D60" s="18" t="inlineStr">
        <is>
          <t>UMT</t>
        </is>
      </c>
      <c r="E60" s="194" t="inlineStr">
        <is>
          <t>825-0700</t>
        </is>
      </c>
      <c r="F60" s="193" t="n">
        <v>15000</v>
      </c>
      <c r="G60" s="195" t="inlineStr">
        <is>
          <t>20002871-00</t>
        </is>
      </c>
      <c r="H60" s="196" t="n">
        <v>34500</v>
      </c>
      <c r="I60" s="196" t="inlineStr">
        <is>
          <t>USD</t>
        </is>
      </c>
      <c r="J60" s="196" t="n"/>
      <c r="K60" s="197" t="n">
        <v>34500</v>
      </c>
      <c r="L60" s="198">
        <f>K60*S60</f>
        <v/>
      </c>
      <c r="M60" s="47" t="inlineStr">
        <is>
          <t>SOLAR</t>
        </is>
      </c>
      <c r="N60" s="199">
        <f>H60-K60</f>
        <v/>
      </c>
      <c r="O60" s="203" t="n"/>
      <c r="P60" s="40" t="inlineStr">
        <is>
          <t>A0131690209636</t>
        </is>
      </c>
      <c r="Q60" s="27" t="inlineStr">
        <is>
          <t>12 Feb 2026</t>
        </is>
      </c>
      <c r="R60" s="27" t="inlineStr">
        <is>
          <t>12 Feb 2026</t>
        </is>
      </c>
      <c r="S60" s="28" t="n">
        <v>31.2175</v>
      </c>
      <c r="T60" s="49" t="n"/>
      <c r="V60" s="204" t="n"/>
    </row>
    <row r="61">
      <c r="A61" s="29" t="n">
        <v>60</v>
      </c>
      <c r="B61" s="44" t="n">
        <v>46065</v>
      </c>
      <c r="C61" s="17" t="inlineStr">
        <is>
          <t>S 120424</t>
        </is>
      </c>
      <c r="D61" s="18" t="inlineStr">
        <is>
          <t>UMT</t>
        </is>
      </c>
      <c r="E61" s="194" t="inlineStr">
        <is>
          <t>825-0700</t>
        </is>
      </c>
      <c r="F61" s="193" t="n">
        <v>15000</v>
      </c>
      <c r="G61" s="195" t="inlineStr">
        <is>
          <t>20002871-00</t>
        </is>
      </c>
      <c r="H61" s="196" t="n">
        <v>34500</v>
      </c>
      <c r="I61" s="196" t="inlineStr">
        <is>
          <t>USD</t>
        </is>
      </c>
      <c r="J61" s="196" t="n"/>
      <c r="K61" s="197" t="n">
        <v>34500</v>
      </c>
      <c r="L61" s="198">
        <f>K61*S61</f>
        <v/>
      </c>
      <c r="M61" s="47" t="inlineStr">
        <is>
          <t>SOLAR</t>
        </is>
      </c>
      <c r="N61" s="199">
        <f>H61-K61</f>
        <v/>
      </c>
      <c r="O61" s="203" t="n"/>
      <c r="P61" s="40" t="inlineStr">
        <is>
          <t>A0131690209636</t>
        </is>
      </c>
      <c r="Q61" s="27" t="inlineStr">
        <is>
          <t>12 Feb 2026</t>
        </is>
      </c>
      <c r="R61" s="27" t="inlineStr">
        <is>
          <t>12 Feb 2026</t>
        </is>
      </c>
      <c r="S61" s="28" t="n">
        <v>31.2175</v>
      </c>
      <c r="T61" s="49" t="n"/>
      <c r="V61" s="204" t="n"/>
    </row>
    <row r="62">
      <c r="A62" s="29" t="n">
        <v>61</v>
      </c>
      <c r="B62" s="44" t="n">
        <v>46065</v>
      </c>
      <c r="C62" s="17" t="inlineStr">
        <is>
          <t>S 120425</t>
        </is>
      </c>
      <c r="D62" s="18" t="inlineStr">
        <is>
          <t>UMT</t>
        </is>
      </c>
      <c r="E62" s="194" t="inlineStr">
        <is>
          <t>825-0684</t>
        </is>
      </c>
      <c r="F62" s="193" t="n">
        <v>500</v>
      </c>
      <c r="G62" s="212" t="inlineStr">
        <is>
          <t>8402614221</t>
        </is>
      </c>
      <c r="H62" s="196" t="n">
        <v>3140</v>
      </c>
      <c r="I62" s="196" t="inlineStr">
        <is>
          <t>USD</t>
        </is>
      </c>
      <c r="J62" s="196" t="n"/>
      <c r="K62" s="197" t="n">
        <v>3140</v>
      </c>
      <c r="L62" s="198">
        <f>K62*S62</f>
        <v/>
      </c>
      <c r="M62" s="47" t="inlineStr">
        <is>
          <t>SOLAR</t>
        </is>
      </c>
      <c r="N62" s="199">
        <f>H62-K62</f>
        <v/>
      </c>
      <c r="O62" s="203" t="n"/>
      <c r="P62" s="40" t="inlineStr">
        <is>
          <t>A0131690209636</t>
        </is>
      </c>
      <c r="Q62" s="27" t="inlineStr">
        <is>
          <t>12 Feb 2026</t>
        </is>
      </c>
      <c r="R62" s="27" t="inlineStr">
        <is>
          <t>12 Feb 2026</t>
        </is>
      </c>
      <c r="S62" s="28" t="n">
        <v>31.2175</v>
      </c>
      <c r="T62" s="49" t="n"/>
      <c r="V62" s="204" t="n"/>
    </row>
    <row r="63">
      <c r="A63" s="29" t="n">
        <v>62</v>
      </c>
      <c r="B63" s="44" t="n">
        <v>46065</v>
      </c>
      <c r="C63" s="17" t="inlineStr">
        <is>
          <t>S 120426</t>
        </is>
      </c>
      <c r="D63" s="18" t="inlineStr">
        <is>
          <t>UMT</t>
        </is>
      </c>
      <c r="E63" s="194" t="inlineStr">
        <is>
          <t>825-0702</t>
        </is>
      </c>
      <c r="F63" s="193" t="n">
        <v>1000</v>
      </c>
      <c r="G63" s="195" t="inlineStr">
        <is>
          <t>20003261-00</t>
        </is>
      </c>
      <c r="H63" s="196" t="n">
        <v>2730</v>
      </c>
      <c r="I63" s="196" t="inlineStr">
        <is>
          <t>USD</t>
        </is>
      </c>
      <c r="J63" s="196" t="n"/>
      <c r="K63" s="197" t="n">
        <v>2730</v>
      </c>
      <c r="L63" s="198">
        <f>K63*S63</f>
        <v/>
      </c>
      <c r="M63" s="47" t="inlineStr">
        <is>
          <t>SOLAR</t>
        </is>
      </c>
      <c r="N63" s="199">
        <f>H63-K63</f>
        <v/>
      </c>
      <c r="O63" s="203" t="n"/>
      <c r="P63" s="40" t="inlineStr">
        <is>
          <t>A0131690209636</t>
        </is>
      </c>
      <c r="Q63" s="27" t="inlineStr">
        <is>
          <t>12 Feb 2026</t>
        </is>
      </c>
      <c r="R63" s="27" t="inlineStr">
        <is>
          <t>12 Feb 2026</t>
        </is>
      </c>
      <c r="S63" s="28" t="n">
        <v>31.2175</v>
      </c>
      <c r="T63" s="49" t="n"/>
      <c r="V63" s="204" t="n"/>
    </row>
    <row r="64">
      <c r="A64" s="29" t="n">
        <v>63</v>
      </c>
      <c r="B64" s="44" t="n">
        <v>46065</v>
      </c>
      <c r="C64" s="17" t="inlineStr">
        <is>
          <t>S 120427</t>
        </is>
      </c>
      <c r="D64" s="18" t="inlineStr">
        <is>
          <t>UMT</t>
        </is>
      </c>
      <c r="E64" s="194" t="inlineStr">
        <is>
          <t>820-0156</t>
        </is>
      </c>
      <c r="F64" s="193" t="n">
        <v>200</v>
      </c>
      <c r="G64" s="195" t="inlineStr">
        <is>
          <t>8402608917</t>
        </is>
      </c>
      <c r="H64" s="196" t="n">
        <v>706</v>
      </c>
      <c r="I64" s="196" t="inlineStr">
        <is>
          <t>USD</t>
        </is>
      </c>
      <c r="J64" s="196" t="n"/>
      <c r="K64" s="197" t="n">
        <v>706</v>
      </c>
      <c r="L64" s="198">
        <f>K64*S64</f>
        <v/>
      </c>
      <c r="M64" s="47" t="inlineStr">
        <is>
          <t>SOLAR</t>
        </is>
      </c>
      <c r="N64" s="199">
        <f>H64-K64</f>
        <v/>
      </c>
      <c r="O64" s="203" t="n"/>
      <c r="P64" s="40" t="inlineStr">
        <is>
          <t>A0131690209636</t>
        </is>
      </c>
      <c r="Q64" s="27" t="inlineStr">
        <is>
          <t>12 Feb 2026</t>
        </is>
      </c>
      <c r="R64" s="27" t="inlineStr">
        <is>
          <t>12 Feb 2026</t>
        </is>
      </c>
      <c r="S64" s="28" t="n">
        <v>31.2175</v>
      </c>
      <c r="T64" s="49" t="n"/>
      <c r="V64" s="204" t="n"/>
    </row>
    <row r="65">
      <c r="A65" s="29" t="n">
        <v>64</v>
      </c>
      <c r="B65" s="44" t="n">
        <v>46065</v>
      </c>
      <c r="C65" s="17" t="inlineStr">
        <is>
          <t>S 120428</t>
        </is>
      </c>
      <c r="D65" s="18" t="inlineStr">
        <is>
          <t>UMT</t>
        </is>
      </c>
      <c r="E65" s="194" t="inlineStr">
        <is>
          <t>112-0212</t>
        </is>
      </c>
      <c r="F65" s="193" t="n">
        <v>100</v>
      </c>
      <c r="G65" s="195" t="inlineStr">
        <is>
          <t>Grommet 1072612910</t>
        </is>
      </c>
      <c r="H65" s="196" t="n">
        <v>230</v>
      </c>
      <c r="I65" s="196" t="inlineStr">
        <is>
          <t>USD</t>
        </is>
      </c>
      <c r="J65" s="196" t="n"/>
      <c r="K65" s="197" t="n">
        <v>230</v>
      </c>
      <c r="L65" s="198">
        <f>K65*S65</f>
        <v/>
      </c>
      <c r="M65" s="47" t="inlineStr">
        <is>
          <t>SOLAR</t>
        </is>
      </c>
      <c r="N65" s="199">
        <f>H65-K65</f>
        <v/>
      </c>
      <c r="O65" s="203" t="n"/>
      <c r="P65" s="40" t="inlineStr">
        <is>
          <t>A0131690209636</t>
        </is>
      </c>
      <c r="Q65" s="27" t="inlineStr">
        <is>
          <t>12 Feb 2026</t>
        </is>
      </c>
      <c r="R65" s="27" t="inlineStr">
        <is>
          <t>12 Feb 2026</t>
        </is>
      </c>
      <c r="S65" s="28" t="n">
        <v>31.2175</v>
      </c>
      <c r="T65" s="49" t="n"/>
      <c r="V65" s="204" t="n"/>
    </row>
    <row r="66" customFormat="1" s="184">
      <c r="A66" s="29" t="n">
        <v>65</v>
      </c>
      <c r="B66" s="44" t="n">
        <v>46065</v>
      </c>
      <c r="C66" s="17" t="inlineStr">
        <is>
          <t>S 120429</t>
        </is>
      </c>
      <c r="D66" s="18" t="inlineStr">
        <is>
          <t>UMT</t>
        </is>
      </c>
      <c r="E66" s="194" t="inlineStr">
        <is>
          <t>825-0719</t>
        </is>
      </c>
      <c r="F66" s="193" t="n">
        <v>2805</v>
      </c>
      <c r="G66" s="195" t="inlineStr">
        <is>
          <t>20005659-00</t>
        </is>
      </c>
      <c r="H66" s="196" t="n">
        <v>37867.5</v>
      </c>
      <c r="I66" s="196" t="inlineStr">
        <is>
          <t>USD</t>
        </is>
      </c>
      <c r="J66" s="196" t="n"/>
      <c r="K66" s="197" t="n">
        <v>37867.5</v>
      </c>
      <c r="L66" s="198">
        <f>K66*S66</f>
        <v/>
      </c>
      <c r="M66" s="47" t="inlineStr">
        <is>
          <t>SOLAR</t>
        </is>
      </c>
      <c r="N66" s="199">
        <f>H66-K66</f>
        <v/>
      </c>
      <c r="O66" s="203" t="n"/>
      <c r="P66" s="40" t="inlineStr">
        <is>
          <t>A0131690209636</t>
        </is>
      </c>
      <c r="Q66" s="27" t="inlineStr">
        <is>
          <t>12 Feb 2026</t>
        </is>
      </c>
      <c r="R66" s="27" t="inlineStr">
        <is>
          <t>12 Feb 2026</t>
        </is>
      </c>
      <c r="S66" s="28" t="n">
        <v>31.2175</v>
      </c>
      <c r="T66" s="49" t="n"/>
      <c r="V66" s="204" t="n"/>
    </row>
    <row r="67" customFormat="1" s="184">
      <c r="A67" s="29" t="n">
        <v>66</v>
      </c>
      <c r="B67" s="44" t="n">
        <v>46065</v>
      </c>
      <c r="C67" s="17" t="inlineStr">
        <is>
          <t>S 120430</t>
        </is>
      </c>
      <c r="D67" s="18" t="inlineStr">
        <is>
          <t>UMT</t>
        </is>
      </c>
      <c r="E67" s="193" t="inlineStr">
        <is>
          <t>825-0719</t>
        </is>
      </c>
      <c r="F67" s="193" t="n">
        <v>111</v>
      </c>
      <c r="G67" s="195" t="inlineStr">
        <is>
          <t>20005659-00</t>
        </is>
      </c>
      <c r="H67" s="196" t="n">
        <v>1498.5</v>
      </c>
      <c r="I67" s="196" t="inlineStr">
        <is>
          <t>USD</t>
        </is>
      </c>
      <c r="J67" s="196" t="n"/>
      <c r="K67" s="197" t="n">
        <v>1498.5</v>
      </c>
      <c r="L67" s="198">
        <f>K67*S67</f>
        <v/>
      </c>
      <c r="M67" s="47" t="inlineStr">
        <is>
          <t>SOLAR</t>
        </is>
      </c>
      <c r="N67" s="199">
        <f>H67-K67</f>
        <v/>
      </c>
      <c r="O67" s="203" t="n"/>
      <c r="P67" s="40" t="inlineStr">
        <is>
          <t>A0131690209636</t>
        </is>
      </c>
      <c r="Q67" s="27" t="inlineStr">
        <is>
          <t>12 Feb 2026</t>
        </is>
      </c>
      <c r="R67" s="27" t="inlineStr">
        <is>
          <t>12 Feb 2026</t>
        </is>
      </c>
      <c r="S67" s="28" t="n">
        <v>31.2175</v>
      </c>
      <c r="T67" s="49" t="n"/>
      <c r="V67" s="204" t="n"/>
    </row>
    <row r="68" customFormat="1" s="184">
      <c r="A68" s="29" t="n">
        <v>67</v>
      </c>
      <c r="B68" s="67" t="n">
        <v>46065</v>
      </c>
      <c r="C68" s="68" t="inlineStr">
        <is>
          <t>S 120431</t>
        </is>
      </c>
      <c r="D68" s="69" t="inlineStr">
        <is>
          <t>UMT</t>
        </is>
      </c>
      <c r="E68" s="213" t="inlineStr">
        <is>
          <t>825-0682</t>
        </is>
      </c>
      <c r="F68" s="214" t="n">
        <v>1000</v>
      </c>
      <c r="G68" s="215" t="inlineStr">
        <is>
          <t>8402614209</t>
        </is>
      </c>
      <c r="H68" s="184" t="n">
        <v>4730</v>
      </c>
      <c r="I68" s="184" t="inlineStr">
        <is>
          <t>USD</t>
        </is>
      </c>
      <c r="K68" s="202" t="n"/>
      <c r="L68" s="185">
        <f>K68*S68</f>
        <v/>
      </c>
      <c r="M68" s="73" t="inlineStr">
        <is>
          <t>SOLAR</t>
        </is>
      </c>
      <c r="N68" s="199">
        <f>H68-K68</f>
        <v/>
      </c>
      <c r="O68" s="203" t="n"/>
      <c r="P68" s="40" t="n"/>
      <c r="Q68" s="27" t="n"/>
      <c r="R68" s="27" t="n"/>
      <c r="S68" s="28" t="n"/>
      <c r="T68" s="49" t="n"/>
      <c r="V68" s="204" t="n"/>
    </row>
    <row r="69" customFormat="1" s="184">
      <c r="A69" s="29" t="n">
        <v>68</v>
      </c>
      <c r="B69" s="67" t="n">
        <v>46065</v>
      </c>
      <c r="C69" s="68" t="inlineStr">
        <is>
          <t>S 120432</t>
        </is>
      </c>
      <c r="D69" s="69" t="inlineStr">
        <is>
          <t>UMT</t>
        </is>
      </c>
      <c r="E69" s="213" t="inlineStr">
        <is>
          <t>825-0682</t>
        </is>
      </c>
      <c r="F69" s="214" t="n">
        <v>1000</v>
      </c>
      <c r="G69" s="215" t="inlineStr">
        <is>
          <t>8402614209</t>
        </is>
      </c>
      <c r="H69" s="184" t="n">
        <v>4730</v>
      </c>
      <c r="I69" s="184" t="inlineStr">
        <is>
          <t>USD</t>
        </is>
      </c>
      <c r="K69" s="202" t="n"/>
      <c r="L69" s="185">
        <f>K69*S69</f>
        <v/>
      </c>
      <c r="M69" s="73" t="inlineStr">
        <is>
          <t>SOLAR</t>
        </is>
      </c>
      <c r="N69" s="199">
        <f>H69-K69</f>
        <v/>
      </c>
      <c r="O69" s="203" t="n"/>
      <c r="P69" s="40" t="n"/>
      <c r="Q69" s="27" t="n"/>
      <c r="R69" s="27" t="n"/>
      <c r="S69" s="28" t="n"/>
      <c r="T69" s="49" t="n"/>
      <c r="V69" s="204" t="n"/>
    </row>
    <row r="70" customFormat="1" s="184">
      <c r="A70" s="29" t="n">
        <v>69</v>
      </c>
      <c r="B70" s="67" t="n">
        <v>46065</v>
      </c>
      <c r="C70" s="68" t="inlineStr">
        <is>
          <t>S 120433</t>
        </is>
      </c>
      <c r="D70" s="69" t="inlineStr">
        <is>
          <t>UMT</t>
        </is>
      </c>
      <c r="E70" s="213" t="inlineStr">
        <is>
          <t>820-0139</t>
        </is>
      </c>
      <c r="F70" s="214" t="n">
        <v>1000</v>
      </c>
      <c r="G70" s="215" t="inlineStr">
        <is>
          <t>304F-73235 Mold cable</t>
        </is>
      </c>
      <c r="H70" s="184" t="n">
        <v>10300</v>
      </c>
      <c r="I70" s="184" t="inlineStr">
        <is>
          <t>USD</t>
        </is>
      </c>
      <c r="K70" s="202" t="n"/>
      <c r="L70" s="185">
        <f>K70*S70</f>
        <v/>
      </c>
      <c r="M70" s="73" t="inlineStr">
        <is>
          <t>SOLAR</t>
        </is>
      </c>
      <c r="N70" s="199">
        <f>H70-K70</f>
        <v/>
      </c>
      <c r="O70" s="203" t="n"/>
      <c r="P70" s="40" t="n"/>
      <c r="Q70" s="27" t="n"/>
      <c r="R70" s="27" t="n"/>
      <c r="S70" s="28" t="n"/>
      <c r="T70" s="49" t="n"/>
      <c r="V70" s="204" t="n"/>
    </row>
    <row r="71" customFormat="1" s="184">
      <c r="A71" s="29" t="n">
        <v>70</v>
      </c>
      <c r="B71" s="67" t="n">
        <v>46065</v>
      </c>
      <c r="C71" s="68" t="inlineStr">
        <is>
          <t>S 120434</t>
        </is>
      </c>
      <c r="D71" s="69" t="inlineStr">
        <is>
          <t>UMT</t>
        </is>
      </c>
      <c r="E71" s="213" t="inlineStr">
        <is>
          <t>820-0008</t>
        </is>
      </c>
      <c r="F71" s="200" t="n">
        <v>2500</v>
      </c>
      <c r="G71" s="215" t="inlineStr">
        <is>
          <t>304F-73303 Cable harness DSE1210.10 P5HZ</t>
        </is>
      </c>
      <c r="H71" s="202" t="n">
        <v>7750</v>
      </c>
      <c r="I71" s="202" t="inlineStr">
        <is>
          <t>USD</t>
        </is>
      </c>
      <c r="J71" s="202" t="n"/>
      <c r="K71" s="202" t="n"/>
      <c r="L71" s="185">
        <f>K71*S71</f>
        <v/>
      </c>
      <c r="M71" s="73" t="inlineStr">
        <is>
          <t>SOLAR</t>
        </is>
      </c>
      <c r="N71" s="199">
        <f>H71-K71</f>
        <v/>
      </c>
      <c r="O71" s="203" t="n"/>
      <c r="P71" s="40" t="n"/>
      <c r="Q71" s="27" t="n"/>
      <c r="R71" s="27" t="n"/>
      <c r="S71" s="28" t="n"/>
      <c r="T71" s="49" t="n"/>
      <c r="V71" s="204" t="n"/>
    </row>
    <row r="72" customFormat="1" s="184">
      <c r="A72" s="29" t="n">
        <v>71</v>
      </c>
      <c r="B72" s="67" t="n">
        <v>46065</v>
      </c>
      <c r="C72" s="68" t="inlineStr">
        <is>
          <t>S 120435</t>
        </is>
      </c>
      <c r="D72" s="69" t="inlineStr">
        <is>
          <t>UMT</t>
        </is>
      </c>
      <c r="E72" s="213" t="inlineStr">
        <is>
          <t>820-0038</t>
        </is>
      </c>
      <c r="F72" s="214" t="n">
        <v>1000</v>
      </c>
      <c r="G72" s="215" t="inlineStr">
        <is>
          <t>304F-73299 Cable harness DSE1210.13 P1HZ</t>
        </is>
      </c>
      <c r="H72" s="184" t="n">
        <v>3230</v>
      </c>
      <c r="I72" s="184" t="inlineStr">
        <is>
          <t>USD</t>
        </is>
      </c>
      <c r="K72" s="202" t="n"/>
      <c r="L72" s="185">
        <f>K72*S72</f>
        <v/>
      </c>
      <c r="M72" s="73" t="inlineStr">
        <is>
          <t>SOLAR</t>
        </is>
      </c>
      <c r="N72" s="199">
        <f>H72-K72</f>
        <v/>
      </c>
      <c r="O72" s="203" t="n"/>
      <c r="P72" s="40" t="n"/>
      <c r="Q72" s="27" t="n"/>
      <c r="R72" s="27" t="n"/>
      <c r="S72" s="28" t="n"/>
      <c r="T72" s="49" t="n"/>
      <c r="V72" s="204" t="n"/>
    </row>
    <row r="73" customFormat="1" s="184">
      <c r="A73" s="29" t="n">
        <v>72</v>
      </c>
      <c r="B73" s="67" t="n">
        <v>46065</v>
      </c>
      <c r="C73" s="68" t="inlineStr">
        <is>
          <t>S 120436</t>
        </is>
      </c>
      <c r="D73" s="69" t="inlineStr">
        <is>
          <t>UMT</t>
        </is>
      </c>
      <c r="E73" s="213" t="inlineStr">
        <is>
          <t>820-0360</t>
        </is>
      </c>
      <c r="F73" s="214" t="n">
        <v>750</v>
      </c>
      <c r="G73" s="215" t="inlineStr">
        <is>
          <t>8402614505</t>
        </is>
      </c>
      <c r="H73" s="184" t="n">
        <v>2625</v>
      </c>
      <c r="I73" s="184" t="inlineStr">
        <is>
          <t>USD</t>
        </is>
      </c>
      <c r="K73" s="202" t="n"/>
      <c r="L73" s="185">
        <f>K73*S73</f>
        <v/>
      </c>
      <c r="M73" s="73" t="inlineStr">
        <is>
          <t>SOLAR</t>
        </is>
      </c>
      <c r="N73" s="199">
        <f>H73-K73</f>
        <v/>
      </c>
      <c r="O73" s="203" t="n"/>
      <c r="P73" s="40" t="n"/>
      <c r="Q73" s="27" t="n"/>
      <c r="R73" s="27" t="n"/>
      <c r="S73" s="28" t="n"/>
      <c r="T73" s="49" t="n"/>
      <c r="V73" s="204" t="n"/>
    </row>
    <row r="74" customFormat="1" s="184">
      <c r="A74" s="29" t="n">
        <v>73</v>
      </c>
      <c r="B74" s="67" t="n">
        <v>46065</v>
      </c>
      <c r="C74" s="68" t="inlineStr">
        <is>
          <t>S 120437</t>
        </is>
      </c>
      <c r="D74" s="69" t="inlineStr">
        <is>
          <t>UMT</t>
        </is>
      </c>
      <c r="E74" s="213" t="inlineStr">
        <is>
          <t>820-0131</t>
        </is>
      </c>
      <c r="F74" s="214" t="n">
        <v>500</v>
      </c>
      <c r="G74" s="215" t="inlineStr">
        <is>
          <t>8402608649</t>
        </is>
      </c>
      <c r="H74" s="184" t="n">
        <v>12370</v>
      </c>
      <c r="I74" s="184" t="inlineStr">
        <is>
          <t>USD</t>
        </is>
      </c>
      <c r="K74" s="202" t="n"/>
      <c r="L74" s="185">
        <f>K74*S74</f>
        <v/>
      </c>
      <c r="M74" s="73" t="inlineStr">
        <is>
          <t>SOLAR</t>
        </is>
      </c>
      <c r="N74" s="199">
        <f>H74-K74</f>
        <v/>
      </c>
      <c r="O74" s="203" t="n"/>
      <c r="P74" s="40" t="n"/>
      <c r="Q74" s="27" t="n"/>
      <c r="R74" s="27" t="n"/>
      <c r="S74" s="28" t="n"/>
      <c r="T74" s="49" t="n"/>
      <c r="V74" s="204" t="n"/>
    </row>
    <row r="75" customFormat="1" s="184">
      <c r="A75" s="29" t="n">
        <v>74</v>
      </c>
      <c r="B75" s="67" t="n">
        <v>46065</v>
      </c>
      <c r="C75" s="68" t="inlineStr">
        <is>
          <t>S 120438</t>
        </is>
      </c>
      <c r="D75" s="69" t="inlineStr">
        <is>
          <t>UMT</t>
        </is>
      </c>
      <c r="E75" s="216" t="inlineStr">
        <is>
          <t>820-0321</t>
        </is>
      </c>
      <c r="F75" s="200" t="n">
        <v>1500</v>
      </c>
      <c r="G75" s="215" t="inlineStr">
        <is>
          <t>8402612974 Cable harness DSE1010.07P11HZ</t>
        </is>
      </c>
      <c r="H75" s="202" t="n">
        <v>4500</v>
      </c>
      <c r="I75" s="202" t="inlineStr">
        <is>
          <t>USD</t>
        </is>
      </c>
      <c r="J75" s="202" t="n"/>
      <c r="K75" s="202" t="n"/>
      <c r="L75" s="185">
        <f>K75*S75</f>
        <v/>
      </c>
      <c r="M75" s="73" t="inlineStr">
        <is>
          <t>SOLAR</t>
        </is>
      </c>
      <c r="N75" s="199">
        <f>H75-K75</f>
        <v/>
      </c>
      <c r="O75" s="203" t="n"/>
      <c r="P75" s="40" t="n"/>
      <c r="Q75" s="27" t="n"/>
      <c r="R75" s="27" t="n"/>
      <c r="S75" s="28" t="n"/>
      <c r="T75" s="49" t="n"/>
      <c r="V75" s="204" t="n"/>
    </row>
    <row r="76" customFormat="1" s="184">
      <c r="A76" s="29" t="n">
        <v>75</v>
      </c>
      <c r="B76" s="67" t="n">
        <v>46065</v>
      </c>
      <c r="C76" s="68" t="inlineStr">
        <is>
          <t>S 120439</t>
        </is>
      </c>
      <c r="D76" s="69" t="inlineStr">
        <is>
          <t>UMT</t>
        </is>
      </c>
      <c r="E76" s="216" t="inlineStr">
        <is>
          <t>825-0680</t>
        </is>
      </c>
      <c r="F76" s="200" t="n">
        <v>4000</v>
      </c>
      <c r="G76" s="215" t="inlineStr">
        <is>
          <t>8402614205</t>
        </is>
      </c>
      <c r="H76" s="202" t="n">
        <v>20800</v>
      </c>
      <c r="I76" s="202" t="inlineStr">
        <is>
          <t>USD</t>
        </is>
      </c>
      <c r="J76" s="202" t="n"/>
      <c r="K76" s="202" t="n"/>
      <c r="L76" s="185">
        <f>K76*S76</f>
        <v/>
      </c>
      <c r="M76" s="73" t="inlineStr">
        <is>
          <t>SOLAR</t>
        </is>
      </c>
      <c r="N76" s="199">
        <f>H76-K76</f>
        <v/>
      </c>
      <c r="O76" s="203" t="n"/>
      <c r="P76" s="40" t="n"/>
      <c r="Q76" s="27" t="n"/>
      <c r="R76" s="27" t="n"/>
      <c r="S76" s="28" t="n"/>
      <c r="T76" s="49" t="n"/>
      <c r="V76" s="204" t="n"/>
    </row>
    <row r="77" customFormat="1" s="184">
      <c r="A77" s="29" t="n">
        <v>76</v>
      </c>
      <c r="B77" s="67" t="n">
        <v>46065</v>
      </c>
      <c r="C77" s="68" t="inlineStr">
        <is>
          <t>S 120440</t>
        </is>
      </c>
      <c r="D77" s="69" t="inlineStr">
        <is>
          <t>UMT</t>
        </is>
      </c>
      <c r="E77" s="216" t="inlineStr">
        <is>
          <t>820-0032</t>
        </is>
      </c>
      <c r="F77" s="200" t="n">
        <v>1500</v>
      </c>
      <c r="G77" s="215" t="inlineStr">
        <is>
          <t>304F-73658 DSE1010.04 P7HZ</t>
        </is>
      </c>
      <c r="H77" s="202" t="n">
        <v>3000</v>
      </c>
      <c r="I77" s="202" t="inlineStr">
        <is>
          <t>USD</t>
        </is>
      </c>
      <c r="J77" s="202" t="n"/>
      <c r="K77" s="202" t="n"/>
      <c r="L77" s="185">
        <f>K77*S77</f>
        <v/>
      </c>
      <c r="M77" s="73" t="inlineStr">
        <is>
          <t>SOLAR</t>
        </is>
      </c>
      <c r="N77" s="199">
        <f>H77-K77</f>
        <v/>
      </c>
      <c r="O77" s="203" t="n"/>
      <c r="P77" s="40" t="n"/>
      <c r="Q77" s="27" t="n"/>
      <c r="R77" s="27" t="n"/>
      <c r="S77" s="28" t="n"/>
      <c r="T77" s="49" t="n"/>
      <c r="V77" s="204" t="n"/>
    </row>
    <row r="78" customFormat="1" s="184">
      <c r="A78" s="29" t="n">
        <v>77</v>
      </c>
      <c r="B78" s="67" t="n">
        <v>46065</v>
      </c>
      <c r="C78" s="68" t="inlineStr">
        <is>
          <t>S 120441</t>
        </is>
      </c>
      <c r="D78" s="69" t="inlineStr">
        <is>
          <t>UMT</t>
        </is>
      </c>
      <c r="E78" s="216" t="inlineStr">
        <is>
          <t>825-0679</t>
        </is>
      </c>
      <c r="F78" s="200" t="n">
        <v>500</v>
      </c>
      <c r="G78" s="215" t="inlineStr">
        <is>
          <t>8402614211</t>
        </is>
      </c>
      <c r="H78" s="202" t="n">
        <v>3615</v>
      </c>
      <c r="I78" s="202" t="inlineStr">
        <is>
          <t>USD</t>
        </is>
      </c>
      <c r="J78" s="202" t="n"/>
      <c r="K78" s="202" t="n"/>
      <c r="L78" s="185">
        <f>K78*S78</f>
        <v/>
      </c>
      <c r="M78" s="73" t="inlineStr">
        <is>
          <t>SOLAR</t>
        </is>
      </c>
      <c r="N78" s="199">
        <f>H78-K78</f>
        <v/>
      </c>
      <c r="O78" s="203" t="n"/>
      <c r="P78" s="40" t="n"/>
      <c r="Q78" s="27" t="n"/>
      <c r="R78" s="27" t="n"/>
      <c r="S78" s="28" t="n"/>
      <c r="T78" s="49" t="n"/>
      <c r="V78" s="204" t="n"/>
    </row>
    <row r="79" customFormat="1" s="184">
      <c r="A79" s="29" t="n">
        <v>78</v>
      </c>
      <c r="B79" s="67" t="n">
        <v>46065</v>
      </c>
      <c r="C79" s="68" t="inlineStr">
        <is>
          <t>S 120442</t>
        </is>
      </c>
      <c r="D79" s="69" t="inlineStr">
        <is>
          <t>UMT</t>
        </is>
      </c>
      <c r="E79" s="216" t="inlineStr">
        <is>
          <t>825-0674</t>
        </is>
      </c>
      <c r="F79" s="200" t="n">
        <v>540</v>
      </c>
      <c r="G79" s="215" t="inlineStr">
        <is>
          <t>8402613747</t>
        </is>
      </c>
      <c r="H79" s="202" t="n">
        <v>4417.2</v>
      </c>
      <c r="I79" s="202" t="inlineStr">
        <is>
          <t>USD</t>
        </is>
      </c>
      <c r="J79" s="202" t="n"/>
      <c r="K79" s="202" t="n"/>
      <c r="L79" s="185">
        <f>K79*S79</f>
        <v/>
      </c>
      <c r="M79" s="73" t="inlineStr">
        <is>
          <t>SOLAR</t>
        </is>
      </c>
      <c r="N79" s="199">
        <f>H79-K79</f>
        <v/>
      </c>
      <c r="O79" s="203" t="n"/>
      <c r="P79" s="40" t="n"/>
      <c r="Q79" s="27" t="n"/>
      <c r="R79" s="27" t="n"/>
      <c r="S79" s="28" t="n"/>
      <c r="T79" s="49" t="n"/>
      <c r="V79" s="204" t="n"/>
    </row>
    <row r="80" customFormat="1" s="184">
      <c r="A80" s="29" t="n">
        <v>79</v>
      </c>
      <c r="B80" s="67" t="n">
        <v>46065</v>
      </c>
      <c r="C80" s="68" t="inlineStr">
        <is>
          <t>S 120443</t>
        </is>
      </c>
      <c r="D80" s="69" t="inlineStr">
        <is>
          <t>UMT</t>
        </is>
      </c>
      <c r="E80" s="216" t="inlineStr">
        <is>
          <t>820-0079</t>
        </is>
      </c>
      <c r="F80" s="200" t="n">
        <v>907</v>
      </c>
      <c r="G80" s="215" t="inlineStr">
        <is>
          <t>8402606916</t>
        </is>
      </c>
      <c r="H80" s="202" t="n">
        <v>3891.03</v>
      </c>
      <c r="I80" s="202" t="inlineStr">
        <is>
          <t>USD</t>
        </is>
      </c>
      <c r="J80" s="202" t="n"/>
      <c r="K80" s="202" t="n"/>
      <c r="L80" s="185">
        <f>K80*S80</f>
        <v/>
      </c>
      <c r="M80" s="73" t="inlineStr">
        <is>
          <t>SOLAR</t>
        </is>
      </c>
      <c r="N80" s="199">
        <f>H80-K80</f>
        <v/>
      </c>
      <c r="O80" s="203" t="n"/>
      <c r="P80" s="40" t="n"/>
      <c r="Q80" s="27" t="n"/>
      <c r="R80" s="27" t="n"/>
      <c r="S80" s="28" t="n"/>
      <c r="T80" s="49" t="n"/>
      <c r="V80" s="204" t="n"/>
    </row>
    <row r="81" customFormat="1" s="184">
      <c r="A81" s="29" t="n">
        <v>80</v>
      </c>
      <c r="B81" s="67" t="n">
        <v>46066</v>
      </c>
      <c r="C81" s="68" t="inlineStr">
        <is>
          <t>S 120444</t>
        </is>
      </c>
      <c r="D81" s="69" t="inlineStr">
        <is>
          <t>FARPOINTE3</t>
        </is>
      </c>
      <c r="E81" s="216" t="inlineStr">
        <is>
          <t>890-0055</t>
        </is>
      </c>
      <c r="F81" s="200" t="n">
        <v>20</v>
      </c>
      <c r="G81" s="215" t="inlineStr">
        <is>
          <t>PCBA ATF-Access Pro V.2.84, Ship kit</t>
        </is>
      </c>
      <c r="H81" s="202" t="n">
        <v>3096</v>
      </c>
      <c r="I81" s="202" t="inlineStr">
        <is>
          <t>USD</t>
        </is>
      </c>
      <c r="J81" s="202" t="n"/>
      <c r="K81" s="202" t="n"/>
      <c r="L81" s="185">
        <f>K81*S81</f>
        <v/>
      </c>
      <c r="M81" s="73" t="inlineStr">
        <is>
          <t>SOLAR</t>
        </is>
      </c>
      <c r="N81" s="199">
        <f>H81-K81</f>
        <v/>
      </c>
      <c r="O81" s="203" t="n"/>
      <c r="P81" s="40" t="n"/>
      <c r="Q81" s="27" t="n"/>
      <c r="R81" s="27" t="n"/>
      <c r="S81" s="28" t="n"/>
      <c r="T81" s="49" t="n"/>
      <c r="V81" s="204" t="n"/>
    </row>
    <row r="82" customFormat="1" s="184">
      <c r="A82" s="29" t="n">
        <v>81</v>
      </c>
      <c r="B82" s="67" t="n">
        <v>46066</v>
      </c>
      <c r="C82" s="68" t="inlineStr">
        <is>
          <t>S 120445</t>
        </is>
      </c>
      <c r="D82" s="69" t="inlineStr">
        <is>
          <t>UMT</t>
        </is>
      </c>
      <c r="E82" s="216" t="inlineStr">
        <is>
          <t>720-0178</t>
        </is>
      </c>
      <c r="F82" s="200" t="n">
        <v>960</v>
      </c>
      <c r="G82" s="215" t="inlineStr">
        <is>
          <t>20026016-03 Cable harness H7 CTT</t>
        </is>
      </c>
      <c r="H82" s="202" t="n">
        <v>4704</v>
      </c>
      <c r="I82" s="202" t="inlineStr">
        <is>
          <t>USD</t>
        </is>
      </c>
      <c r="J82" s="202" t="n"/>
      <c r="K82" s="202" t="n"/>
      <c r="L82" s="185">
        <f>K82*S82</f>
        <v/>
      </c>
      <c r="M82" s="73" t="inlineStr">
        <is>
          <t>SOLAR</t>
        </is>
      </c>
      <c r="N82" s="199">
        <f>H82-K82</f>
        <v/>
      </c>
      <c r="O82" s="203" t="n"/>
      <c r="P82" s="40" t="n"/>
      <c r="Q82" s="27" t="n"/>
      <c r="R82" s="27" t="n"/>
      <c r="S82" s="28" t="n"/>
      <c r="T82" s="49" t="n"/>
      <c r="V82" s="204" t="n"/>
    </row>
    <row r="83" customFormat="1" s="184">
      <c r="A83" s="29" t="n">
        <v>82</v>
      </c>
      <c r="B83" s="44" t="n">
        <v>46066</v>
      </c>
      <c r="C83" s="17" t="inlineStr">
        <is>
          <t>S 120446</t>
        </is>
      </c>
      <c r="D83" s="18" t="inlineStr">
        <is>
          <t>UMT</t>
        </is>
      </c>
      <c r="E83" s="210" t="inlineStr">
        <is>
          <t>800-0026</t>
        </is>
      </c>
      <c r="F83" s="209" t="n">
        <v>333</v>
      </c>
      <c r="G83" s="195" t="inlineStr">
        <is>
          <t>20003622-00</t>
        </is>
      </c>
      <c r="H83" s="197" t="n">
        <v>7492.5</v>
      </c>
      <c r="I83" s="197" t="inlineStr">
        <is>
          <t>USD</t>
        </is>
      </c>
      <c r="J83" s="196" t="n"/>
      <c r="K83" s="197" t="n">
        <v>7492.5</v>
      </c>
      <c r="L83" s="198">
        <f>K83*S83</f>
        <v/>
      </c>
      <c r="M83" s="47" t="inlineStr">
        <is>
          <t>SOLAR</t>
        </is>
      </c>
      <c r="N83" s="199">
        <f>H83-K83</f>
        <v/>
      </c>
      <c r="O83" s="203" t="n"/>
      <c r="P83" s="40" t="inlineStr">
        <is>
          <t>A0131690218122</t>
        </is>
      </c>
      <c r="Q83" s="27" t="inlineStr">
        <is>
          <t>12 Feb 2026</t>
        </is>
      </c>
      <c r="R83" s="27" t="inlineStr">
        <is>
          <t>12 Feb 2026</t>
        </is>
      </c>
      <c r="S83" s="28" t="n">
        <v>31.2175</v>
      </c>
      <c r="T83" s="49" t="n"/>
      <c r="V83" s="204" t="n"/>
    </row>
    <row r="84" customFormat="1" s="184">
      <c r="A84" s="29" t="n">
        <v>83</v>
      </c>
      <c r="B84" s="44" t="n">
        <v>46066</v>
      </c>
      <c r="C84" s="17" t="inlineStr">
        <is>
          <t>S 120447</t>
        </is>
      </c>
      <c r="D84" s="18" t="inlineStr">
        <is>
          <t>AUTORUN</t>
        </is>
      </c>
      <c r="E84" s="210" t="inlineStr">
        <is>
          <t>A-41010000</t>
        </is>
      </c>
      <c r="F84" s="209" t="n">
        <v>1</v>
      </c>
      <c r="G84" s="195" t="inlineStr">
        <is>
          <t>Shipping Charge Base on 2,283.60 Kgs. Ref.S120371</t>
        </is>
      </c>
      <c r="H84" s="197" t="n">
        <v>1298</v>
      </c>
      <c r="I84" s="197" t="inlineStr">
        <is>
          <t>USD</t>
        </is>
      </c>
      <c r="J84" s="197" t="n"/>
      <c r="K84" s="197" t="n">
        <v>1298</v>
      </c>
      <c r="L84" s="198">
        <f>K84*S84</f>
        <v/>
      </c>
      <c r="M84" s="47" t="inlineStr">
        <is>
          <t>SOLAR</t>
        </is>
      </c>
      <c r="N84" s="199">
        <f>H84-K84</f>
        <v/>
      </c>
      <c r="O84" s="203" t="n"/>
      <c r="P84" s="40" t="n"/>
      <c r="Q84" s="27" t="inlineStr">
        <is>
          <t>12 Feb 2026</t>
        </is>
      </c>
      <c r="R84" s="27" t="inlineStr">
        <is>
          <t>12 Feb 2026</t>
        </is>
      </c>
      <c r="S84" s="28" t="n">
        <v>31.2175</v>
      </c>
      <c r="T84" s="49" t="n"/>
      <c r="V84" s="204" t="n"/>
    </row>
    <row r="85" customFormat="1" s="184">
      <c r="A85" s="29" t="n">
        <v>84</v>
      </c>
      <c r="B85" s="44" t="n">
        <v>46066</v>
      </c>
      <c r="C85" s="17" t="inlineStr">
        <is>
          <t>S 120447</t>
        </is>
      </c>
      <c r="D85" s="18" t="inlineStr">
        <is>
          <t>AUTORUN</t>
        </is>
      </c>
      <c r="E85" s="210" t="inlineStr">
        <is>
          <t>A-41010000</t>
        </is>
      </c>
      <c r="F85" s="209" t="n">
        <v>1</v>
      </c>
      <c r="G85" s="195" t="inlineStr">
        <is>
          <t>Sales -  FTA FEE</t>
        </is>
      </c>
      <c r="H85" s="197" t="n">
        <v>16</v>
      </c>
      <c r="I85" s="197" t="inlineStr">
        <is>
          <t>USD</t>
        </is>
      </c>
      <c r="J85" s="197" t="n"/>
      <c r="K85" s="197" t="n">
        <v>16</v>
      </c>
      <c r="L85" s="198">
        <f>K85*S85</f>
        <v/>
      </c>
      <c r="M85" s="47" t="inlineStr">
        <is>
          <t>SOLAR</t>
        </is>
      </c>
      <c r="N85" s="199">
        <f>H85-K85</f>
        <v/>
      </c>
      <c r="O85" s="203" t="n"/>
      <c r="P85" s="40" t="n"/>
      <c r="Q85" s="27" t="inlineStr">
        <is>
          <t>12 Feb 2026</t>
        </is>
      </c>
      <c r="R85" s="27" t="inlineStr">
        <is>
          <t>12 Feb 2026</t>
        </is>
      </c>
      <c r="S85" s="28" t="n">
        <v>31.2175</v>
      </c>
      <c r="T85" s="49" t="n"/>
      <c r="V85" s="204" t="n"/>
    </row>
    <row r="86" customFormat="1" s="184">
      <c r="A86" s="29" t="n">
        <v>85</v>
      </c>
      <c r="B86" s="44" t="n">
        <v>46069</v>
      </c>
      <c r="C86" s="17" t="inlineStr">
        <is>
          <t>S 120448</t>
        </is>
      </c>
      <c r="D86" s="18" t="inlineStr">
        <is>
          <t>UMT</t>
        </is>
      </c>
      <c r="E86" s="210" t="inlineStr">
        <is>
          <t>825-0747</t>
        </is>
      </c>
      <c r="F86" s="209" t="n">
        <v>600</v>
      </c>
      <c r="G86" s="195" t="inlineStr">
        <is>
          <t>20026732-00</t>
        </is>
      </c>
      <c r="H86" s="197" t="n">
        <v>1308</v>
      </c>
      <c r="I86" s="197" t="inlineStr">
        <is>
          <t>USD</t>
        </is>
      </c>
      <c r="J86" s="197" t="n"/>
      <c r="K86" s="197" t="n">
        <v>1308</v>
      </c>
      <c r="L86" s="198">
        <f>K86*S86</f>
        <v/>
      </c>
      <c r="M86" s="47" t="inlineStr">
        <is>
          <t>SOLAR</t>
        </is>
      </c>
      <c r="N86" s="199">
        <f>H86-K86</f>
        <v/>
      </c>
      <c r="O86" s="203" t="n"/>
      <c r="P86" s="40" t="inlineStr">
        <is>
          <t>A0171690211357</t>
        </is>
      </c>
      <c r="Q86" s="27" t="inlineStr">
        <is>
          <t>16 Feb 2026</t>
        </is>
      </c>
      <c r="R86" s="27" t="inlineStr">
        <is>
          <t>16 Feb 2026</t>
        </is>
      </c>
      <c r="S86" s="28" t="n">
        <v>31.2054</v>
      </c>
      <c r="T86" s="49" t="n"/>
      <c r="V86" s="204" t="n"/>
    </row>
    <row r="87" customFormat="1" s="184">
      <c r="A87" s="29" t="n">
        <v>86</v>
      </c>
      <c r="B87" s="44" t="n">
        <v>46069</v>
      </c>
      <c r="C87" s="17" t="inlineStr">
        <is>
          <t>S 120449</t>
        </is>
      </c>
      <c r="D87" s="18" t="inlineStr">
        <is>
          <t>UMT</t>
        </is>
      </c>
      <c r="E87" s="210" t="inlineStr">
        <is>
          <t>800-0026</t>
        </is>
      </c>
      <c r="F87" s="209" t="n">
        <v>243</v>
      </c>
      <c r="G87" s="195" t="inlineStr">
        <is>
          <t>20003622-00</t>
        </is>
      </c>
      <c r="H87" s="197" t="n">
        <v>5467.5</v>
      </c>
      <c r="I87" s="197" t="inlineStr">
        <is>
          <t>USD</t>
        </is>
      </c>
      <c r="J87" s="197" t="n"/>
      <c r="K87" s="197" t="n">
        <v>5467.5</v>
      </c>
      <c r="L87" s="198">
        <f>K87*S87</f>
        <v/>
      </c>
      <c r="M87" s="47" t="inlineStr">
        <is>
          <t>SOLAR</t>
        </is>
      </c>
      <c r="N87" s="199">
        <f>H87-K87</f>
        <v/>
      </c>
      <c r="O87" s="203" t="n"/>
      <c r="P87" s="40" t="inlineStr">
        <is>
          <t>A0171690211357</t>
        </is>
      </c>
      <c r="Q87" s="27" t="inlineStr">
        <is>
          <t>16 Feb 2026</t>
        </is>
      </c>
      <c r="R87" s="27" t="inlineStr">
        <is>
          <t>16 Feb 2026</t>
        </is>
      </c>
      <c r="S87" s="28" t="n">
        <v>31.2054</v>
      </c>
      <c r="T87" s="49" t="n"/>
      <c r="V87" s="204" t="n"/>
    </row>
    <row r="88" customFormat="1" s="184">
      <c r="A88" s="29" t="n">
        <v>87</v>
      </c>
      <c r="B88" s="44" t="n">
        <v>46069</v>
      </c>
      <c r="C88" s="17" t="inlineStr">
        <is>
          <t>S 120450</t>
        </is>
      </c>
      <c r="D88" s="18" t="inlineStr">
        <is>
          <t>UMT</t>
        </is>
      </c>
      <c r="E88" s="210" t="inlineStr">
        <is>
          <t>800-0042</t>
        </is>
      </c>
      <c r="F88" s="209" t="n">
        <v>168</v>
      </c>
      <c r="G88" s="195" t="inlineStr">
        <is>
          <t>20028227-00</t>
        </is>
      </c>
      <c r="H88" s="197" t="n">
        <v>3948</v>
      </c>
      <c r="I88" s="197" t="inlineStr">
        <is>
          <t>USD</t>
        </is>
      </c>
      <c r="J88" s="197" t="n"/>
      <c r="K88" s="197" t="n">
        <v>3948</v>
      </c>
      <c r="L88" s="198">
        <f>K88*S88</f>
        <v/>
      </c>
      <c r="M88" s="47" t="inlineStr">
        <is>
          <t>SOLAR</t>
        </is>
      </c>
      <c r="N88" s="199">
        <f>H88-K88</f>
        <v/>
      </c>
      <c r="O88" s="203" t="n"/>
      <c r="P88" s="40" t="inlineStr">
        <is>
          <t>A0171690211357</t>
        </is>
      </c>
      <c r="Q88" s="27" t="inlineStr">
        <is>
          <t>16 Feb 2026</t>
        </is>
      </c>
      <c r="R88" s="27" t="inlineStr">
        <is>
          <t>16 Feb 2026</t>
        </is>
      </c>
      <c r="S88" s="28" t="n">
        <v>31.2054</v>
      </c>
      <c r="T88" s="49" t="n"/>
      <c r="V88" s="204" t="n"/>
    </row>
    <row r="89" customFormat="1" s="184">
      <c r="A89" s="29" t="n">
        <v>88</v>
      </c>
      <c r="B89" s="67" t="n">
        <v>46070</v>
      </c>
      <c r="C89" s="68" t="inlineStr">
        <is>
          <t>S 120451</t>
        </is>
      </c>
      <c r="D89" s="69" t="inlineStr">
        <is>
          <t>UMT</t>
        </is>
      </c>
      <c r="E89" s="200" t="inlineStr">
        <is>
          <t>720-0178</t>
        </is>
      </c>
      <c r="F89" s="216" t="n">
        <v>480</v>
      </c>
      <c r="G89" s="215" t="inlineStr">
        <is>
          <t>20026016-03 Cable harness H7 CTT</t>
        </is>
      </c>
      <c r="H89" s="202" t="n">
        <v>2352</v>
      </c>
      <c r="I89" s="202" t="inlineStr">
        <is>
          <t>USD</t>
        </is>
      </c>
      <c r="J89" s="75" t="n"/>
      <c r="K89" s="202" t="n"/>
      <c r="L89" s="185">
        <f>K89*S89</f>
        <v/>
      </c>
      <c r="M89" s="73" t="inlineStr">
        <is>
          <t>SOLAR</t>
        </is>
      </c>
      <c r="N89" s="199">
        <f>H89-K89</f>
        <v/>
      </c>
      <c r="O89" s="203" t="n"/>
      <c r="P89" s="40" t="n"/>
      <c r="Q89" s="27" t="n"/>
      <c r="R89" s="27" t="n"/>
      <c r="S89" s="28" t="n"/>
      <c r="T89" s="49" t="n"/>
      <c r="V89" s="204" t="n"/>
    </row>
    <row r="90" customFormat="1" s="184">
      <c r="A90" s="29" t="n">
        <v>89</v>
      </c>
      <c r="B90" s="44" t="n">
        <v>46071</v>
      </c>
      <c r="C90" s="17" t="inlineStr">
        <is>
          <t>S 120452</t>
        </is>
      </c>
      <c r="D90" s="18" t="inlineStr">
        <is>
          <t>UMT</t>
        </is>
      </c>
      <c r="E90" s="209" t="inlineStr">
        <is>
          <t>825-0729</t>
        </is>
      </c>
      <c r="F90" s="210" t="n">
        <v>288</v>
      </c>
      <c r="G90" s="195" t="inlineStr">
        <is>
          <t>G-F0518</t>
        </is>
      </c>
      <c r="H90" s="197" t="n">
        <v>878.4</v>
      </c>
      <c r="I90" s="197" t="inlineStr">
        <is>
          <t>USD</t>
        </is>
      </c>
      <c r="J90" s="197" t="n"/>
      <c r="K90" s="197" t="n">
        <v>878.4</v>
      </c>
      <c r="L90" s="198">
        <f>K90*S90</f>
        <v/>
      </c>
      <c r="M90" s="47" t="inlineStr">
        <is>
          <t>SOLAR</t>
        </is>
      </c>
      <c r="N90" s="199">
        <f>H90-K90</f>
        <v/>
      </c>
      <c r="O90" s="203" t="n"/>
      <c r="P90" s="40" t="inlineStr">
        <is>
          <t>A0181690211156</t>
        </is>
      </c>
      <c r="Q90" s="27" t="inlineStr">
        <is>
          <t>17 Feb 2026</t>
        </is>
      </c>
      <c r="R90" s="27" t="inlineStr">
        <is>
          <t>17 Feb 2026</t>
        </is>
      </c>
      <c r="S90" s="28" t="n">
        <v>31.3577</v>
      </c>
      <c r="T90" s="43" t="n"/>
      <c r="V90" s="204" t="n"/>
    </row>
    <row r="91" customFormat="1" s="184">
      <c r="A91" s="29" t="n">
        <v>90</v>
      </c>
      <c r="B91" s="44" t="n">
        <v>46071</v>
      </c>
      <c r="C91" s="17" t="inlineStr">
        <is>
          <t>S 120452</t>
        </is>
      </c>
      <c r="D91" s="18" t="inlineStr">
        <is>
          <t>UMT</t>
        </is>
      </c>
      <c r="E91" s="193" t="inlineStr">
        <is>
          <t>825-0729</t>
        </is>
      </c>
      <c r="F91" s="194" t="n">
        <v>293</v>
      </c>
      <c r="G91" s="195" t="inlineStr">
        <is>
          <t>G-F0518</t>
        </is>
      </c>
      <c r="H91" s="196" t="n">
        <v>893.65</v>
      </c>
      <c r="I91" s="196" t="inlineStr">
        <is>
          <t>USD</t>
        </is>
      </c>
      <c r="J91" s="196" t="n"/>
      <c r="K91" s="197" t="n">
        <v>893.65</v>
      </c>
      <c r="L91" s="198">
        <f>K91*S91</f>
        <v/>
      </c>
      <c r="M91" s="47" t="inlineStr">
        <is>
          <t>SOLAR</t>
        </is>
      </c>
      <c r="N91" s="199">
        <f>H91-K91</f>
        <v/>
      </c>
      <c r="O91" s="203" t="n"/>
      <c r="P91" s="40" t="inlineStr">
        <is>
          <t>A0181690211156</t>
        </is>
      </c>
      <c r="Q91" s="27" t="inlineStr">
        <is>
          <t>17 Feb 2026</t>
        </is>
      </c>
      <c r="R91" s="27" t="inlineStr">
        <is>
          <t>17 Feb 2026</t>
        </is>
      </c>
      <c r="S91" s="28" t="n">
        <v>31.3577</v>
      </c>
      <c r="T91" s="43" t="n"/>
      <c r="V91" s="204" t="n"/>
    </row>
    <row r="92" customFormat="1" s="184">
      <c r="A92" s="29" t="n">
        <v>91</v>
      </c>
      <c r="B92" s="44" t="n">
        <v>46071</v>
      </c>
      <c r="C92" s="17" t="inlineStr">
        <is>
          <t>S 120453</t>
        </is>
      </c>
      <c r="D92" s="18" t="inlineStr">
        <is>
          <t>UMT</t>
        </is>
      </c>
      <c r="E92" s="193" t="inlineStr">
        <is>
          <t>825-0729</t>
        </is>
      </c>
      <c r="F92" s="194" t="n">
        <v>288</v>
      </c>
      <c r="G92" s="195" t="inlineStr">
        <is>
          <t>G-F0518</t>
        </is>
      </c>
      <c r="H92" s="217" t="n">
        <v>878.4</v>
      </c>
      <c r="I92" s="196" t="inlineStr">
        <is>
          <t>USD</t>
        </is>
      </c>
      <c r="J92" s="196" t="n"/>
      <c r="K92" s="197" t="n">
        <v>878.4</v>
      </c>
      <c r="L92" s="198">
        <f>K92*S92</f>
        <v/>
      </c>
      <c r="M92" s="47" t="inlineStr">
        <is>
          <t>SOLAR</t>
        </is>
      </c>
      <c r="N92" s="199">
        <f>H92-K92</f>
        <v/>
      </c>
      <c r="O92" s="203" t="n"/>
      <c r="P92" s="40" t="inlineStr">
        <is>
          <t>A0181690211156</t>
        </is>
      </c>
      <c r="Q92" s="27" t="inlineStr">
        <is>
          <t>17 Feb 2026</t>
        </is>
      </c>
      <c r="R92" s="27" t="inlineStr">
        <is>
          <t>17 Feb 2026</t>
        </is>
      </c>
      <c r="S92" s="28" t="n">
        <v>31.3577</v>
      </c>
      <c r="T92" s="43" t="n"/>
      <c r="V92" s="204" t="n"/>
    </row>
    <row r="93" customFormat="1" s="184">
      <c r="A93" s="29" t="n">
        <v>92</v>
      </c>
      <c r="B93" s="44" t="n">
        <v>46071</v>
      </c>
      <c r="C93" s="17" t="inlineStr">
        <is>
          <t>S 120454</t>
        </is>
      </c>
      <c r="D93" s="18" t="inlineStr">
        <is>
          <t>UMT</t>
        </is>
      </c>
      <c r="E93" s="194" t="inlineStr">
        <is>
          <t>800-0026</t>
        </is>
      </c>
      <c r="F93" s="193" t="n">
        <v>12</v>
      </c>
      <c r="G93" s="195" t="inlineStr">
        <is>
          <t>20003622-00</t>
        </is>
      </c>
      <c r="H93" s="218" t="n">
        <v>270</v>
      </c>
      <c r="I93" s="196" t="inlineStr">
        <is>
          <t>USD</t>
        </is>
      </c>
      <c r="J93" s="196" t="n"/>
      <c r="K93" s="197" t="n">
        <v>270</v>
      </c>
      <c r="L93" s="198">
        <f>K93*S93</f>
        <v/>
      </c>
      <c r="M93" s="47" t="inlineStr">
        <is>
          <t>SOLAR</t>
        </is>
      </c>
      <c r="N93" s="199">
        <f>H93-K93</f>
        <v/>
      </c>
      <c r="O93" s="203" t="n"/>
      <c r="P93" s="40" t="inlineStr">
        <is>
          <t>A0181690211156</t>
        </is>
      </c>
      <c r="Q93" s="27" t="inlineStr">
        <is>
          <t>17 Feb 2026</t>
        </is>
      </c>
      <c r="R93" s="27" t="inlineStr">
        <is>
          <t>17 Feb 2026</t>
        </is>
      </c>
      <c r="S93" s="28" t="n">
        <v>31.3577</v>
      </c>
      <c r="T93" s="43" t="n"/>
      <c r="V93" s="204" t="n"/>
    </row>
    <row r="94" customFormat="1" s="184">
      <c r="A94" s="29" t="n">
        <v>93</v>
      </c>
      <c r="B94" s="16" t="n">
        <v>46071</v>
      </c>
      <c r="C94" s="17" t="inlineStr">
        <is>
          <t>S 120455</t>
        </is>
      </c>
      <c r="D94" s="18" t="inlineStr">
        <is>
          <t>UMT</t>
        </is>
      </c>
      <c r="E94" s="194" t="inlineStr">
        <is>
          <t>800-0026</t>
        </is>
      </c>
      <c r="F94" s="193" t="n">
        <v>268</v>
      </c>
      <c r="G94" s="195" t="inlineStr">
        <is>
          <t>20003622-00</t>
        </is>
      </c>
      <c r="H94" s="218" t="n">
        <v>6030</v>
      </c>
      <c r="I94" s="196" t="inlineStr">
        <is>
          <t>USD</t>
        </is>
      </c>
      <c r="J94" s="196" t="n"/>
      <c r="K94" s="197" t="n">
        <v>6030</v>
      </c>
      <c r="L94" s="198">
        <f>K94*S94</f>
        <v/>
      </c>
      <c r="M94" s="47" t="inlineStr">
        <is>
          <t>SOLAR</t>
        </is>
      </c>
      <c r="N94" s="199">
        <f>H94-K94</f>
        <v/>
      </c>
      <c r="O94" s="203" t="n"/>
      <c r="P94" s="40" t="inlineStr">
        <is>
          <t>A0181690211156</t>
        </is>
      </c>
      <c r="Q94" s="27" t="inlineStr">
        <is>
          <t>17 Feb 2026</t>
        </is>
      </c>
      <c r="R94" s="27" t="inlineStr">
        <is>
          <t>17 Feb 2026</t>
        </is>
      </c>
      <c r="S94" s="28" t="n">
        <v>31.3577</v>
      </c>
      <c r="T94" s="43" t="n"/>
      <c r="V94" s="204" t="n"/>
    </row>
    <row r="95" customFormat="1" s="184">
      <c r="A95" s="29" t="n">
        <v>94</v>
      </c>
      <c r="B95" s="30" t="n">
        <v>46071</v>
      </c>
      <c r="C95" s="68" t="inlineStr">
        <is>
          <t>S 120456</t>
        </is>
      </c>
      <c r="D95" s="69" t="inlineStr">
        <is>
          <t>FARPOINTE3</t>
        </is>
      </c>
      <c r="E95" s="213" t="inlineStr">
        <is>
          <t>890-0013</t>
        </is>
      </c>
      <c r="F95" s="214" t="n">
        <v>7000</v>
      </c>
      <c r="G95" s="215" t="inlineStr">
        <is>
          <t>2-button Farpointe Transmitter withT5577</t>
        </is>
      </c>
      <c r="H95" s="182" t="n">
        <v>46550</v>
      </c>
      <c r="I95" s="184" t="inlineStr">
        <is>
          <t>USD</t>
        </is>
      </c>
      <c r="K95" s="202" t="n"/>
      <c r="L95" s="185">
        <f>K95*S95</f>
        <v/>
      </c>
      <c r="M95" s="73" t="inlineStr">
        <is>
          <t>SOLAR</t>
        </is>
      </c>
      <c r="N95" s="199">
        <f>H95-K95</f>
        <v/>
      </c>
      <c r="O95" s="203" t="n"/>
      <c r="P95" s="40" t="n"/>
      <c r="Q95" s="27" t="n"/>
      <c r="R95" s="27" t="n"/>
      <c r="S95" s="28" t="n"/>
      <c r="T95" s="43" t="n"/>
      <c r="V95" s="204" t="n"/>
    </row>
    <row r="96" customFormat="1" s="184">
      <c r="A96" s="29" t="n">
        <v>95</v>
      </c>
      <c r="B96" s="30" t="n">
        <v>46071</v>
      </c>
      <c r="C96" s="68" t="inlineStr">
        <is>
          <t>S 120457</t>
        </is>
      </c>
      <c r="D96" s="69" t="inlineStr">
        <is>
          <t>FARPOINTE3</t>
        </is>
      </c>
      <c r="E96" s="213" t="inlineStr">
        <is>
          <t>890-0053</t>
        </is>
      </c>
      <c r="F96" s="214" t="n">
        <v>6240</v>
      </c>
      <c r="G96" s="215" t="inlineStr">
        <is>
          <t>2-button Farpointe with Mifare plus EV2</t>
        </is>
      </c>
      <c r="H96" s="219" t="n">
        <v>49296</v>
      </c>
      <c r="I96" s="184" t="inlineStr">
        <is>
          <t>USD</t>
        </is>
      </c>
      <c r="K96" s="202" t="n"/>
      <c r="L96" s="185">
        <f>K96*S96</f>
        <v/>
      </c>
      <c r="M96" s="73" t="inlineStr">
        <is>
          <t>SOLAR</t>
        </is>
      </c>
      <c r="N96" s="199">
        <f>H96-K96</f>
        <v/>
      </c>
      <c r="O96" s="203" t="n"/>
      <c r="P96" s="40" t="n"/>
      <c r="Q96" s="27" t="n"/>
      <c r="R96" s="27" t="n"/>
      <c r="S96" s="28" t="n"/>
      <c r="T96" s="43" t="n"/>
      <c r="V96" s="204" t="n"/>
    </row>
    <row r="97" customFormat="1" s="184">
      <c r="A97" s="29" t="n">
        <v>96</v>
      </c>
      <c r="B97" s="30" t="n">
        <v>46071</v>
      </c>
      <c r="C97" s="68" t="inlineStr">
        <is>
          <t>S 120458</t>
        </is>
      </c>
      <c r="D97" s="69" t="inlineStr">
        <is>
          <t>FARPOINTE3</t>
        </is>
      </c>
      <c r="E97" s="213" t="inlineStr">
        <is>
          <t>890-0034</t>
        </is>
      </c>
      <c r="F97" s="214" t="n">
        <v>500</v>
      </c>
      <c r="G97" s="215" t="inlineStr">
        <is>
          <t>4-button Keyscan Transmitter, with T5577</t>
        </is>
      </c>
      <c r="H97" s="184" t="n">
        <v>3460</v>
      </c>
      <c r="I97" s="184" t="inlineStr">
        <is>
          <t>USD</t>
        </is>
      </c>
      <c r="K97" s="202" t="n"/>
      <c r="L97" s="185">
        <f>K97*S97</f>
        <v/>
      </c>
      <c r="M97" s="73" t="inlineStr">
        <is>
          <t>SOLAR</t>
        </is>
      </c>
      <c r="N97" s="199">
        <f>H97-K97</f>
        <v/>
      </c>
      <c r="O97" s="203" t="n"/>
      <c r="P97" s="40" t="n"/>
      <c r="Q97" s="27" t="n"/>
      <c r="R97" s="27" t="n"/>
      <c r="S97" s="28" t="n"/>
      <c r="T97" s="43" t="n"/>
      <c r="V97" s="204" t="n"/>
    </row>
    <row r="98" customFormat="1" s="184">
      <c r="A98" s="29" t="n">
        <v>97</v>
      </c>
      <c r="B98" s="30" t="n">
        <v>46071</v>
      </c>
      <c r="C98" s="68" t="inlineStr">
        <is>
          <t>S 120459</t>
        </is>
      </c>
      <c r="D98" s="69" t="inlineStr">
        <is>
          <t>FARPOINTE3</t>
        </is>
      </c>
      <c r="E98" s="213" t="inlineStr">
        <is>
          <t>890-0034</t>
        </is>
      </c>
      <c r="F98" s="214" t="n">
        <v>500</v>
      </c>
      <c r="G98" s="215" t="inlineStr">
        <is>
          <t>4-button Keyscan Transmitter, with T5577</t>
        </is>
      </c>
      <c r="H98" s="184" t="n">
        <v>3460</v>
      </c>
      <c r="I98" s="184" t="inlineStr">
        <is>
          <t>USD</t>
        </is>
      </c>
      <c r="K98" s="202" t="n"/>
      <c r="L98" s="185">
        <f>K98*S98</f>
        <v/>
      </c>
      <c r="M98" s="73" t="inlineStr">
        <is>
          <t>SOLAR</t>
        </is>
      </c>
      <c r="N98" s="199">
        <f>H98-K98</f>
        <v/>
      </c>
      <c r="O98" s="203" t="n"/>
      <c r="P98" s="40" t="n"/>
      <c r="Q98" s="27" t="n"/>
      <c r="R98" s="27" t="n"/>
      <c r="S98" s="28" t="n"/>
      <c r="T98" s="43" t="n"/>
      <c r="V98" s="204" t="n"/>
    </row>
    <row r="99" customFormat="1" s="184">
      <c r="A99" s="29" t="n">
        <v>98</v>
      </c>
      <c r="B99" s="30" t="n">
        <v>46071</v>
      </c>
      <c r="C99" s="68" t="inlineStr">
        <is>
          <t>S 120460</t>
        </is>
      </c>
      <c r="D99" s="69" t="inlineStr">
        <is>
          <t>FARPOINTE3</t>
        </is>
      </c>
      <c r="E99" s="213" t="inlineStr">
        <is>
          <t>890-0031</t>
        </is>
      </c>
      <c r="F99" s="214" t="n">
        <v>1500</v>
      </c>
      <c r="G99" s="215" t="inlineStr">
        <is>
          <t>4-button Farpointe Transmitter, T5577</t>
        </is>
      </c>
      <c r="H99" s="184" t="n">
        <v>10170</v>
      </c>
      <c r="I99" s="184" t="inlineStr">
        <is>
          <t>USD</t>
        </is>
      </c>
      <c r="K99" s="202" t="n"/>
      <c r="L99" s="185">
        <f>K99*S99</f>
        <v/>
      </c>
      <c r="M99" s="73" t="inlineStr">
        <is>
          <t>SOLAR</t>
        </is>
      </c>
      <c r="N99" s="199">
        <f>H99-K99</f>
        <v/>
      </c>
      <c r="O99" s="203" t="n"/>
      <c r="P99" s="40" t="n"/>
      <c r="Q99" s="27" t="n"/>
      <c r="R99" s="27" t="n"/>
      <c r="S99" s="28" t="n"/>
      <c r="T99" s="43" t="n"/>
      <c r="V99" s="204" t="n"/>
    </row>
    <row r="100" customFormat="1" s="184">
      <c r="A100" s="29" t="n">
        <v>99</v>
      </c>
      <c r="B100" s="30" t="n">
        <v>46071</v>
      </c>
      <c r="C100" s="68" t="inlineStr">
        <is>
          <t>S 120461</t>
        </is>
      </c>
      <c r="D100" s="69" t="inlineStr">
        <is>
          <t>FARPOINTE3</t>
        </is>
      </c>
      <c r="E100" s="213" t="inlineStr">
        <is>
          <t>890-0036</t>
        </is>
      </c>
      <c r="F100" s="214" t="n">
        <v>1000</v>
      </c>
      <c r="G100" s="215" t="inlineStr">
        <is>
          <t>4-button Keyscan Transmitter, with 1K</t>
        </is>
      </c>
      <c r="H100" s="184" t="n">
        <v>7690</v>
      </c>
      <c r="I100" s="184" t="inlineStr">
        <is>
          <t>USD</t>
        </is>
      </c>
      <c r="K100" s="202" t="n"/>
      <c r="L100" s="185">
        <f>K100*S100</f>
        <v/>
      </c>
      <c r="M100" s="73" t="inlineStr">
        <is>
          <t>SOLAR</t>
        </is>
      </c>
      <c r="N100" s="199">
        <f>H100-K100</f>
        <v/>
      </c>
      <c r="O100" s="203" t="n"/>
      <c r="P100" s="40" t="n"/>
      <c r="Q100" s="27" t="n"/>
      <c r="R100" s="27" t="n"/>
      <c r="S100" s="28" t="n"/>
      <c r="T100" s="43" t="n"/>
      <c r="V100" s="204" t="n"/>
    </row>
    <row r="101" customFormat="1" s="184">
      <c r="A101" s="29" t="n">
        <v>100</v>
      </c>
      <c r="B101" s="30" t="n">
        <v>46071</v>
      </c>
      <c r="C101" s="68" t="inlineStr">
        <is>
          <t>S 120462</t>
        </is>
      </c>
      <c r="D101" s="69" t="inlineStr">
        <is>
          <t>FARPOINTE3</t>
        </is>
      </c>
      <c r="E101" s="213" t="inlineStr">
        <is>
          <t>890-0054</t>
        </is>
      </c>
      <c r="F101" s="214" t="n">
        <v>936</v>
      </c>
      <c r="G101" s="215" t="inlineStr">
        <is>
          <t>4-button Farpointe with Mifare plus EV2</t>
        </is>
      </c>
      <c r="H101" s="184" t="n">
        <v>7516.08</v>
      </c>
      <c r="I101" s="184" t="inlineStr">
        <is>
          <t>USD</t>
        </is>
      </c>
      <c r="K101" s="202" t="n"/>
      <c r="L101" s="185">
        <f>K101*S101</f>
        <v/>
      </c>
      <c r="M101" s="73" t="inlineStr">
        <is>
          <t>SOLAR</t>
        </is>
      </c>
      <c r="N101" s="199">
        <f>H101-K101</f>
        <v/>
      </c>
      <c r="O101" s="203" t="n"/>
      <c r="P101" s="40" t="n"/>
      <c r="Q101" s="27" t="n"/>
      <c r="R101" s="27" t="n"/>
      <c r="S101" s="28" t="n"/>
      <c r="T101" s="80" t="n"/>
      <c r="V101" s="204" t="n"/>
    </row>
    <row r="102" customFormat="1" s="184">
      <c r="A102" s="29" t="n">
        <v>101</v>
      </c>
      <c r="B102" s="30" t="n">
        <v>46071</v>
      </c>
      <c r="C102" s="68" t="inlineStr">
        <is>
          <t>S 120463</t>
        </is>
      </c>
      <c r="D102" s="69" t="inlineStr">
        <is>
          <t>FARPOINTE3</t>
        </is>
      </c>
      <c r="E102" s="213" t="inlineStr">
        <is>
          <t>890-0037</t>
        </is>
      </c>
      <c r="F102" s="214" t="n">
        <v>1000</v>
      </c>
      <c r="G102" s="215" t="inlineStr">
        <is>
          <t>4-button Keyscan Transmitter, with EV3</t>
        </is>
      </c>
      <c r="H102" s="184" t="n">
        <v>7950</v>
      </c>
      <c r="I102" s="184" t="inlineStr">
        <is>
          <t>USD</t>
        </is>
      </c>
      <c r="K102" s="202" t="n"/>
      <c r="L102" s="185">
        <f>K102*S102</f>
        <v/>
      </c>
      <c r="M102" s="73" t="inlineStr">
        <is>
          <t>SOLAR</t>
        </is>
      </c>
      <c r="N102" s="199">
        <f>H102-K102</f>
        <v/>
      </c>
      <c r="O102" s="203" t="n"/>
      <c r="P102" s="40" t="n"/>
      <c r="Q102" s="27" t="n"/>
      <c r="R102" s="27" t="n"/>
      <c r="S102" s="28" t="n"/>
      <c r="T102" s="43" t="n"/>
      <c r="V102" s="204" t="n"/>
    </row>
    <row r="103" customFormat="1" s="184">
      <c r="A103" s="29" t="n">
        <v>102</v>
      </c>
      <c r="B103" s="30" t="n">
        <v>46071</v>
      </c>
      <c r="C103" s="68" t="inlineStr">
        <is>
          <t>S 120464</t>
        </is>
      </c>
      <c r="D103" s="69" t="inlineStr">
        <is>
          <t>FARPOINTE3</t>
        </is>
      </c>
      <c r="E103" s="213" t="inlineStr">
        <is>
          <t>895-0050</t>
        </is>
      </c>
      <c r="F103" s="214" t="n">
        <v>1000</v>
      </c>
      <c r="G103" s="215" t="inlineStr">
        <is>
          <t>Transmitter Bottom parts, Desfire EV2 8K</t>
        </is>
      </c>
      <c r="H103" s="184" t="n">
        <v>2030</v>
      </c>
      <c r="I103" s="184" t="inlineStr">
        <is>
          <t>USD</t>
        </is>
      </c>
      <c r="K103" s="202" t="n"/>
      <c r="L103" s="185">
        <f>K103*S103</f>
        <v/>
      </c>
      <c r="M103" s="73" t="inlineStr">
        <is>
          <t>SOLAR</t>
        </is>
      </c>
      <c r="N103" s="199">
        <f>H103-K103</f>
        <v/>
      </c>
      <c r="O103" s="203" t="n"/>
      <c r="P103" s="40" t="n"/>
      <c r="Q103" s="27" t="n"/>
      <c r="R103" s="27" t="n"/>
      <c r="S103" s="28" t="n"/>
      <c r="T103" s="43" t="n"/>
      <c r="V103" s="204" t="n"/>
    </row>
    <row r="104" customFormat="1" s="184">
      <c r="A104" s="29" t="n">
        <v>103</v>
      </c>
      <c r="B104" s="30" t="n">
        <v>46071</v>
      </c>
      <c r="C104" s="68" t="inlineStr">
        <is>
          <t>S 120465</t>
        </is>
      </c>
      <c r="D104" s="69" t="inlineStr">
        <is>
          <t>FARPOINTE3</t>
        </is>
      </c>
      <c r="E104" s="213" t="inlineStr">
        <is>
          <t>890-0032</t>
        </is>
      </c>
      <c r="F104" s="214" t="n">
        <v>3000</v>
      </c>
      <c r="G104" s="215" t="inlineStr">
        <is>
          <t>K-TX2, Keyscan UHF Transmitter 4 button</t>
        </is>
      </c>
      <c r="H104" s="184" t="n">
        <v>21510</v>
      </c>
      <c r="I104" s="184" t="inlineStr">
        <is>
          <t>USD</t>
        </is>
      </c>
      <c r="K104" s="202" t="n"/>
      <c r="L104" s="185">
        <f>K104*S104</f>
        <v/>
      </c>
      <c r="M104" s="73" t="inlineStr">
        <is>
          <t>SOLAR</t>
        </is>
      </c>
      <c r="N104" s="199">
        <f>H104-K104</f>
        <v/>
      </c>
      <c r="O104" s="203" t="n"/>
      <c r="P104" s="40" t="n"/>
      <c r="Q104" s="27" t="n"/>
      <c r="R104" s="27" t="n"/>
      <c r="S104" s="28" t="n"/>
      <c r="T104" s="43" t="n"/>
      <c r="V104" s="204" t="n"/>
    </row>
    <row r="105" customFormat="1" s="184">
      <c r="A105" s="29" t="n">
        <v>104</v>
      </c>
      <c r="B105" s="30" t="n">
        <v>46071</v>
      </c>
      <c r="C105" s="68" t="inlineStr">
        <is>
          <t>S 120466</t>
        </is>
      </c>
      <c r="D105" s="69" t="inlineStr">
        <is>
          <t>FARPOINTE3</t>
        </is>
      </c>
      <c r="E105" s="213" t="inlineStr">
        <is>
          <t>895-0010</t>
        </is>
      </c>
      <c r="F105" s="214" t="n">
        <v>200</v>
      </c>
      <c r="G105" s="215" t="inlineStr">
        <is>
          <t>MCR-50H</t>
        </is>
      </c>
      <c r="H105" s="184" t="n">
        <v>3674</v>
      </c>
      <c r="I105" s="184" t="inlineStr">
        <is>
          <t>USD</t>
        </is>
      </c>
      <c r="K105" s="202" t="n"/>
      <c r="L105" s="185">
        <f>K105*S105</f>
        <v/>
      </c>
      <c r="M105" s="73" t="inlineStr">
        <is>
          <t>SOLAR</t>
        </is>
      </c>
      <c r="N105" s="199">
        <f>H105-K105</f>
        <v/>
      </c>
      <c r="O105" s="203" t="n"/>
      <c r="P105" s="40" t="n"/>
      <c r="Q105" s="27" t="n"/>
      <c r="R105" s="27" t="n"/>
      <c r="S105" s="28" t="n"/>
      <c r="T105" s="43" t="n"/>
      <c r="V105" s="204" t="n"/>
    </row>
    <row r="106" customFormat="1" s="184">
      <c r="A106" s="29" t="n">
        <v>105</v>
      </c>
      <c r="B106" s="30" t="n">
        <v>46071</v>
      </c>
      <c r="C106" s="68" t="inlineStr">
        <is>
          <t>S 120467</t>
        </is>
      </c>
      <c r="D106" s="69" t="inlineStr">
        <is>
          <t>FARPOINTE3</t>
        </is>
      </c>
      <c r="E106" s="213" t="inlineStr">
        <is>
          <t>890-0025</t>
        </is>
      </c>
      <c r="F106" s="214" t="n">
        <v>600</v>
      </c>
      <c r="G106" s="215" t="inlineStr">
        <is>
          <t>DMP P-300-H-A SHIP KIT</t>
        </is>
      </c>
      <c r="H106" s="184" t="n">
        <v>8262</v>
      </c>
      <c r="I106" s="184" t="inlineStr">
        <is>
          <t>USD</t>
        </is>
      </c>
      <c r="K106" s="202" t="n"/>
      <c r="L106" s="185">
        <f>K106*S106</f>
        <v/>
      </c>
      <c r="M106" s="73" t="inlineStr">
        <is>
          <t>SOLAR</t>
        </is>
      </c>
      <c r="N106" s="199">
        <f>H106-K106</f>
        <v/>
      </c>
      <c r="O106" s="203" t="n"/>
      <c r="P106" s="40" t="n"/>
      <c r="Q106" s="27" t="n"/>
      <c r="R106" s="27" t="n"/>
      <c r="S106" s="28" t="n"/>
      <c r="T106" s="43" t="n"/>
      <c r="V106" s="204" t="n"/>
    </row>
    <row r="107" customFormat="1" s="184">
      <c r="A107" s="29" t="n">
        <v>106</v>
      </c>
      <c r="B107" s="30" t="n">
        <v>46071</v>
      </c>
      <c r="C107" s="68" t="inlineStr">
        <is>
          <t>S 120468</t>
        </is>
      </c>
      <c r="D107" s="69" t="inlineStr">
        <is>
          <t>FARPOINTE3</t>
        </is>
      </c>
      <c r="E107" s="213" t="inlineStr">
        <is>
          <t>890-0044</t>
        </is>
      </c>
      <c r="F107" s="214" t="n">
        <v>20</v>
      </c>
      <c r="G107" s="215" t="inlineStr">
        <is>
          <t>MIRCOM TX3 WRR22 SHIP KIT</t>
        </is>
      </c>
      <c r="H107" s="184" t="n">
        <v>897.8</v>
      </c>
      <c r="I107" s="184" t="inlineStr">
        <is>
          <t>USD</t>
        </is>
      </c>
      <c r="K107" s="202" t="n"/>
      <c r="L107" s="185">
        <f>K107*S107</f>
        <v/>
      </c>
      <c r="M107" s="73" t="inlineStr">
        <is>
          <t>SOLAR</t>
        </is>
      </c>
      <c r="N107" s="199">
        <f>H107-K107</f>
        <v/>
      </c>
      <c r="O107" s="203" t="n"/>
      <c r="P107" s="40" t="n"/>
      <c r="Q107" s="27" t="n"/>
      <c r="R107" s="27" t="n"/>
      <c r="S107" s="28" t="n"/>
      <c r="T107" s="43" t="n"/>
      <c r="V107" s="204" t="n"/>
    </row>
    <row r="108" customFormat="1" s="184">
      <c r="A108" s="29" t="n">
        <v>107</v>
      </c>
      <c r="B108" s="30" t="n">
        <v>46071</v>
      </c>
      <c r="C108" s="68" t="inlineStr">
        <is>
          <t>S 120469</t>
        </is>
      </c>
      <c r="D108" s="69" t="inlineStr">
        <is>
          <t>FARPOINTE3</t>
        </is>
      </c>
      <c r="E108" s="213" t="inlineStr">
        <is>
          <t>890-0039</t>
        </is>
      </c>
      <c r="F108" s="214" t="n">
        <v>60</v>
      </c>
      <c r="G108" s="215" t="inlineStr">
        <is>
          <t>WRR-22 SHIP KIT</t>
        </is>
      </c>
      <c r="H108" s="184" t="n">
        <v>2508</v>
      </c>
      <c r="I108" s="184" t="inlineStr">
        <is>
          <t>USD</t>
        </is>
      </c>
      <c r="K108" s="202" t="n"/>
      <c r="L108" s="185">
        <f>K108*S108</f>
        <v/>
      </c>
      <c r="M108" s="73" t="inlineStr">
        <is>
          <t>SOLAR</t>
        </is>
      </c>
      <c r="N108" s="199">
        <f>H108-K108</f>
        <v/>
      </c>
      <c r="O108" s="203" t="n"/>
      <c r="P108" s="40" t="n"/>
      <c r="Q108" s="27" t="n"/>
      <c r="R108" s="27" t="n"/>
      <c r="S108" s="28" t="n"/>
      <c r="T108" s="43" t="n"/>
      <c r="V108" s="204" t="n"/>
    </row>
    <row r="109" customFormat="1" s="184">
      <c r="A109" s="29" t="n">
        <v>108</v>
      </c>
      <c r="B109" s="67" t="n">
        <v>46071</v>
      </c>
      <c r="C109" s="68" t="inlineStr">
        <is>
          <t>S 120470</t>
        </is>
      </c>
      <c r="D109" s="69" t="inlineStr">
        <is>
          <t>FARPOINTE3</t>
        </is>
      </c>
      <c r="E109" s="29" t="inlineStr">
        <is>
          <t>890-0046</t>
        </is>
      </c>
      <c r="F109" s="214" t="n">
        <v>70</v>
      </c>
      <c r="G109" s="220" t="inlineStr">
        <is>
          <t>WRR-44 SHIP KIT</t>
        </is>
      </c>
      <c r="H109" s="184" t="n">
        <v>4189.5</v>
      </c>
      <c r="I109" s="184" t="inlineStr">
        <is>
          <t>USD</t>
        </is>
      </c>
      <c r="K109" s="202" t="n"/>
      <c r="L109" s="185">
        <f>K109*S109</f>
        <v/>
      </c>
      <c r="M109" s="73" t="inlineStr">
        <is>
          <t>SOLAR</t>
        </is>
      </c>
      <c r="N109" s="199">
        <f>H109-K109</f>
        <v/>
      </c>
      <c r="O109" s="203" t="n"/>
      <c r="P109" s="40" t="n"/>
      <c r="Q109" s="27" t="n"/>
      <c r="R109" s="27" t="n"/>
      <c r="S109" s="28" t="n"/>
      <c r="T109" s="43" t="n"/>
      <c r="V109" s="204" t="n"/>
      <c r="W109" s="43" t="n"/>
      <c r="X109" s="43" t="n"/>
      <c r="Y109" s="43" t="n"/>
      <c r="Z109" s="43" t="n"/>
      <c r="AA109" s="43" t="n"/>
      <c r="AB109" s="43" t="n"/>
      <c r="AC109" s="43" t="n"/>
      <c r="AD109" s="43" t="n"/>
      <c r="AE109" s="43" t="n"/>
      <c r="AF109" s="43" t="n"/>
      <c r="AG109" s="43" t="n"/>
      <c r="AH109" s="43" t="n"/>
      <c r="AI109" s="43" t="n"/>
      <c r="AJ109" s="43" t="n"/>
      <c r="AK109" s="43" t="n"/>
      <c r="AL109" s="43" t="n"/>
      <c r="AM109" s="43" t="n"/>
      <c r="AN109" s="43" t="n"/>
      <c r="AO109" s="43" t="n"/>
      <c r="AP109" s="43" t="n"/>
      <c r="AQ109" s="43" t="n"/>
      <c r="AR109" s="43" t="n"/>
      <c r="AS109" s="43" t="n"/>
      <c r="AT109" s="43" t="n"/>
      <c r="AU109" s="43" t="n"/>
      <c r="AV109" s="43" t="n"/>
      <c r="AW109" s="43" t="n"/>
      <c r="AX109" s="43" t="n"/>
      <c r="AY109" s="43" t="n"/>
      <c r="AZ109" s="43" t="n"/>
      <c r="BA109" s="43" t="n"/>
      <c r="BB109" s="43" t="n"/>
      <c r="BC109" s="43" t="n"/>
      <c r="BD109" s="43" t="n"/>
      <c r="BE109" s="43" t="n"/>
      <c r="BF109" s="43" t="n"/>
      <c r="BG109" s="43" t="n"/>
      <c r="BH109" s="43" t="n"/>
      <c r="BI109" s="43" t="n"/>
      <c r="BJ109" s="43" t="n"/>
      <c r="BK109" s="43" t="n"/>
      <c r="BL109" s="43" t="n"/>
      <c r="BM109" s="43" t="n"/>
      <c r="BN109" s="43" t="n"/>
      <c r="BO109" s="43" t="n"/>
      <c r="BP109" s="43" t="n"/>
      <c r="BQ109" s="43" t="n"/>
      <c r="BR109" s="43" t="n"/>
      <c r="BS109" s="43" t="n"/>
      <c r="BT109" s="43" t="n"/>
      <c r="BU109" s="43" t="n"/>
      <c r="BV109" s="43" t="n"/>
      <c r="BW109" s="43" t="n"/>
      <c r="BX109" s="43" t="n"/>
      <c r="BY109" s="43" t="n"/>
      <c r="BZ109" s="43" t="n"/>
      <c r="CA109" s="43" t="n"/>
      <c r="CB109" s="43" t="n"/>
      <c r="CC109" s="43" t="n"/>
      <c r="CD109" s="43" t="n"/>
      <c r="CE109" s="43" t="n"/>
      <c r="CF109" s="43" t="n"/>
      <c r="CG109" s="43" t="n"/>
      <c r="CH109" s="43" t="n"/>
      <c r="CI109" s="43" t="n"/>
      <c r="CJ109" s="43" t="n"/>
      <c r="CK109" s="43" t="n"/>
      <c r="CL109" s="43" t="n"/>
      <c r="CM109" s="43" t="n"/>
      <c r="CN109" s="43" t="n"/>
      <c r="CO109" s="43" t="n"/>
      <c r="CP109" s="43" t="n"/>
      <c r="CQ109" s="43" t="n"/>
      <c r="CR109" s="43" t="n"/>
      <c r="CS109" s="43" t="n"/>
      <c r="CT109" s="43" t="n"/>
      <c r="CU109" s="43" t="n"/>
      <c r="CV109" s="43" t="n"/>
      <c r="CW109" s="43" t="n"/>
      <c r="CX109" s="43" t="n"/>
      <c r="CY109" s="43" t="n"/>
      <c r="CZ109" s="43" t="n"/>
      <c r="DA109" s="43" t="n"/>
      <c r="DB109" s="43" t="n"/>
      <c r="DC109" s="43" t="n"/>
      <c r="DD109" s="43" t="n"/>
      <c r="DE109" s="43" t="n"/>
      <c r="DF109" s="43" t="n"/>
      <c r="DG109" s="43" t="n"/>
      <c r="DH109" s="43" t="n"/>
      <c r="DI109" s="43" t="n"/>
      <c r="DJ109" s="43" t="n"/>
      <c r="DK109" s="43" t="n"/>
      <c r="DL109" s="43" t="n"/>
      <c r="DM109" s="43" t="n"/>
      <c r="DN109" s="43" t="n"/>
      <c r="DO109" s="43" t="n"/>
      <c r="DP109" s="43" t="n"/>
      <c r="DQ109" s="43" t="n"/>
      <c r="DR109" s="43" t="n"/>
      <c r="DS109" s="43" t="n"/>
      <c r="DT109" s="43" t="n"/>
      <c r="DU109" s="43" t="n"/>
      <c r="DV109" s="43" t="n"/>
      <c r="DW109" s="43" t="n"/>
      <c r="DX109" s="43" t="n"/>
      <c r="DY109" s="43" t="n"/>
      <c r="DZ109" s="43" t="n"/>
      <c r="EA109" s="43" t="n"/>
      <c r="EB109" s="43" t="n"/>
      <c r="EC109" s="43" t="n"/>
      <c r="ED109" s="43" t="n"/>
      <c r="EE109" s="43" t="n"/>
      <c r="EF109" s="43" t="n"/>
      <c r="EG109" s="43" t="n"/>
      <c r="EH109" s="43" t="n"/>
      <c r="EI109" s="43" t="n"/>
      <c r="EJ109" s="43" t="n"/>
      <c r="EK109" s="43" t="n"/>
      <c r="EL109" s="43" t="n"/>
      <c r="EM109" s="43" t="n"/>
      <c r="EN109" s="43" t="n"/>
      <c r="EO109" s="43" t="n"/>
      <c r="EP109" s="43" t="n"/>
      <c r="EQ109" s="43" t="n"/>
      <c r="ER109" s="43" t="n"/>
      <c r="ES109" s="43" t="n"/>
      <c r="ET109" s="43" t="n"/>
      <c r="EU109" s="43" t="n"/>
      <c r="EV109" s="43" t="n"/>
      <c r="EW109" s="43" t="n"/>
      <c r="EX109" s="43" t="n"/>
      <c r="EY109" s="43" t="n"/>
      <c r="EZ109" s="43" t="n"/>
      <c r="FA109" s="43" t="n"/>
      <c r="FB109" s="43" t="n"/>
      <c r="FC109" s="43" t="n"/>
      <c r="FD109" s="43" t="n"/>
      <c r="FE109" s="43" t="n"/>
      <c r="FF109" s="43" t="n"/>
      <c r="FG109" s="43" t="n"/>
      <c r="FH109" s="43" t="n"/>
      <c r="FI109" s="43" t="n"/>
      <c r="FJ109" s="43" t="n"/>
      <c r="FK109" s="43" t="n"/>
      <c r="FL109" s="43" t="n"/>
      <c r="FM109" s="43" t="n"/>
      <c r="FN109" s="43" t="n"/>
      <c r="FO109" s="43" t="n"/>
      <c r="FP109" s="43" t="n"/>
      <c r="FQ109" s="43" t="n"/>
      <c r="FR109" s="43" t="n"/>
      <c r="FS109" s="43" t="n"/>
      <c r="FT109" s="43" t="n"/>
      <c r="FU109" s="43" t="n"/>
      <c r="FV109" s="43" t="n"/>
      <c r="FW109" s="43" t="n"/>
      <c r="FX109" s="43" t="n"/>
      <c r="FY109" s="43" t="n"/>
      <c r="FZ109" s="43" t="n"/>
      <c r="GA109" s="43" t="n"/>
      <c r="GB109" s="43" t="n"/>
      <c r="GC109" s="43" t="n"/>
      <c r="GD109" s="43" t="n"/>
      <c r="GE109" s="43" t="n"/>
      <c r="GF109" s="43" t="n"/>
      <c r="GG109" s="43" t="n"/>
      <c r="GH109" s="43" t="n"/>
      <c r="GI109" s="43" t="n"/>
      <c r="GJ109" s="43" t="n"/>
      <c r="GK109" s="43" t="n"/>
      <c r="GL109" s="43" t="n"/>
      <c r="GM109" s="43" t="n"/>
      <c r="GN109" s="43" t="n"/>
      <c r="GO109" s="43" t="n"/>
      <c r="GP109" s="43" t="n"/>
      <c r="GQ109" s="43" t="n"/>
      <c r="GR109" s="43" t="n"/>
      <c r="GS109" s="43" t="n"/>
      <c r="GT109" s="43" t="n"/>
      <c r="GU109" s="43" t="n"/>
      <c r="GV109" s="43" t="n"/>
      <c r="GW109" s="43" t="n"/>
      <c r="GX109" s="43" t="n"/>
      <c r="GY109" s="43" t="n"/>
      <c r="GZ109" s="43" t="n"/>
      <c r="HA109" s="43" t="n"/>
      <c r="HB109" s="43" t="n"/>
      <c r="HC109" s="43" t="n"/>
      <c r="HD109" s="43" t="n"/>
      <c r="HE109" s="43" t="n"/>
      <c r="HF109" s="43" t="n"/>
      <c r="HG109" s="43" t="n"/>
      <c r="HH109" s="43" t="n"/>
      <c r="HI109" s="43" t="n"/>
      <c r="HJ109" s="43" t="n"/>
      <c r="HK109" s="43" t="n"/>
      <c r="HL109" s="43" t="n"/>
      <c r="HM109" s="43" t="n"/>
    </row>
    <row r="110" customFormat="1" s="184">
      <c r="A110" s="29" t="n">
        <v>109</v>
      </c>
      <c r="B110" s="67" t="n">
        <v>46071</v>
      </c>
      <c r="C110" s="68" t="inlineStr">
        <is>
          <t>S 120471</t>
        </is>
      </c>
      <c r="D110" s="69" t="inlineStr">
        <is>
          <t>FARPOINTE3</t>
        </is>
      </c>
      <c r="E110" s="29" t="inlineStr">
        <is>
          <t>890-0055</t>
        </is>
      </c>
      <c r="F110" s="214" t="n">
        <v>160</v>
      </c>
      <c r="G110" s="220" t="inlineStr">
        <is>
          <t>PCBA ATF-Access Pro V.2.84, Ship kit</t>
        </is>
      </c>
      <c r="H110" s="184" t="n">
        <v>24768</v>
      </c>
      <c r="I110" s="184" t="inlineStr">
        <is>
          <t>USD</t>
        </is>
      </c>
      <c r="K110" s="202" t="n"/>
      <c r="L110" s="185">
        <f>K110*S110</f>
        <v/>
      </c>
      <c r="M110" s="73" t="inlineStr">
        <is>
          <t>SOLAR</t>
        </is>
      </c>
      <c r="N110" s="199">
        <f>H110-K110</f>
        <v/>
      </c>
      <c r="O110" s="203" t="n"/>
      <c r="P110" s="40" t="n"/>
      <c r="Q110" s="27" t="n"/>
      <c r="R110" s="27" t="n"/>
      <c r="S110" s="28" t="n"/>
      <c r="T110" s="43" t="n"/>
      <c r="V110" s="204" t="n"/>
    </row>
    <row r="111">
      <c r="A111" s="29" t="n">
        <v>110</v>
      </c>
      <c r="B111" s="67" t="n">
        <v>46071</v>
      </c>
      <c r="C111" s="68" t="inlineStr">
        <is>
          <t>S 120472</t>
        </is>
      </c>
      <c r="D111" s="69" t="inlineStr">
        <is>
          <t>MANU</t>
        </is>
      </c>
      <c r="E111" s="29" t="inlineStr">
        <is>
          <t>A-41010201</t>
        </is>
      </c>
      <c r="F111" s="214" t="n">
        <v>1</v>
      </c>
      <c r="G111" s="220" t="inlineStr">
        <is>
          <t>OTHER INCOME</t>
        </is>
      </c>
      <c r="H111" s="221" t="inlineStr">
        <is>
          <t>Cancel</t>
        </is>
      </c>
      <c r="I111" s="184" t="n"/>
      <c r="K111" s="202" t="n"/>
      <c r="L111" s="222" t="inlineStr">
        <is>
          <t>-</t>
        </is>
      </c>
      <c r="M111" s="73" t="inlineStr">
        <is>
          <t>NONB</t>
        </is>
      </c>
      <c r="N111" s="199">
        <f>H111-K111</f>
        <v/>
      </c>
      <c r="O111" s="203" t="n"/>
      <c r="P111" s="40" t="n"/>
      <c r="Q111" s="27" t="n"/>
      <c r="R111" s="27" t="n"/>
      <c r="S111" s="28" t="n"/>
      <c r="V111" s="204" t="n"/>
    </row>
    <row r="112">
      <c r="A112" s="29" t="n">
        <v>111</v>
      </c>
      <c r="B112" s="44" t="n">
        <v>46071</v>
      </c>
      <c r="C112" s="17" t="inlineStr">
        <is>
          <t>S 120473</t>
        </is>
      </c>
      <c r="D112" s="18" t="inlineStr">
        <is>
          <t>BLUECHIPS2</t>
        </is>
      </c>
      <c r="E112" s="85" t="inlineStr">
        <is>
          <t>840-0210</t>
        </is>
      </c>
      <c r="F112" s="193" t="n">
        <v>300</v>
      </c>
      <c r="G112" s="205" t="inlineStr">
        <is>
          <t>CVG OPS Protection Config 4</t>
        </is>
      </c>
      <c r="H112" s="196">
        <f>L112+J112</f>
        <v/>
      </c>
      <c r="I112" s="196" t="inlineStr">
        <is>
          <t>THB</t>
        </is>
      </c>
      <c r="J112" s="196">
        <f>L112*7/100</f>
        <v/>
      </c>
      <c r="K112" s="197" t="n"/>
      <c r="L112" s="198" t="n">
        <v>15000</v>
      </c>
      <c r="M112" s="47" t="inlineStr">
        <is>
          <t>NONB</t>
        </is>
      </c>
      <c r="N112" s="199">
        <f>H112-K112</f>
        <v/>
      </c>
      <c r="O112" s="203" t="n"/>
      <c r="P112" s="40" t="n"/>
      <c r="R112" s="27" t="n"/>
      <c r="S112" s="28" t="n"/>
      <c r="V112" s="204" t="n"/>
    </row>
    <row r="113">
      <c r="A113" s="29" t="n">
        <v>112</v>
      </c>
      <c r="B113" s="44" t="n">
        <v>46073</v>
      </c>
      <c r="C113" s="17" t="inlineStr">
        <is>
          <t>S 120474</t>
        </is>
      </c>
      <c r="D113" s="18" t="inlineStr">
        <is>
          <t>UMT</t>
        </is>
      </c>
      <c r="E113" s="85" t="inlineStr">
        <is>
          <t>800-0027</t>
        </is>
      </c>
      <c r="F113" s="193" t="n">
        <v>200</v>
      </c>
      <c r="G113" s="205" t="inlineStr">
        <is>
          <t>20006673-00</t>
        </is>
      </c>
      <c r="H113" s="196" t="n">
        <v>4300</v>
      </c>
      <c r="I113" s="196" t="inlineStr">
        <is>
          <t>USD</t>
        </is>
      </c>
      <c r="J113" s="196" t="n"/>
      <c r="K113" s="197" t="n">
        <v>4300</v>
      </c>
      <c r="L113" s="198">
        <f>K113*S113</f>
        <v/>
      </c>
      <c r="M113" s="47" t="inlineStr">
        <is>
          <t>SOLAR</t>
        </is>
      </c>
      <c r="N113" s="199">
        <f>H113-K113</f>
        <v/>
      </c>
      <c r="O113" s="203" t="n"/>
      <c r="P113" s="40" t="inlineStr">
        <is>
          <t>A0201690219773</t>
        </is>
      </c>
      <c r="Q113" s="27" t="inlineStr">
        <is>
          <t>19 Feb 2026</t>
        </is>
      </c>
      <c r="R113" s="27" t="inlineStr">
        <is>
          <t>19 Feb 2026</t>
        </is>
      </c>
      <c r="S113" s="28" t="n">
        <v>31.3918</v>
      </c>
      <c r="V113" s="204" t="n"/>
    </row>
    <row r="114">
      <c r="A114" s="29" t="n">
        <v>113</v>
      </c>
      <c r="B114" s="44" t="n">
        <v>46073</v>
      </c>
      <c r="C114" s="17" t="inlineStr">
        <is>
          <t>S 120475</t>
        </is>
      </c>
      <c r="D114" s="18" t="inlineStr">
        <is>
          <t>UMT</t>
        </is>
      </c>
      <c r="E114" s="85" t="inlineStr">
        <is>
          <t>800-0041</t>
        </is>
      </c>
      <c r="F114" s="193" t="n">
        <v>1073</v>
      </c>
      <c r="G114" s="205" t="inlineStr">
        <is>
          <t>20026730-00</t>
        </is>
      </c>
      <c r="H114" s="196" t="n">
        <v>24357.1</v>
      </c>
      <c r="I114" s="196" t="inlineStr">
        <is>
          <t>USD</t>
        </is>
      </c>
      <c r="J114" s="196" t="n"/>
      <c r="K114" s="197" t="n">
        <v>24357.1</v>
      </c>
      <c r="L114" s="198">
        <f>K114*S114</f>
        <v/>
      </c>
      <c r="M114" s="47" t="inlineStr">
        <is>
          <t>SOLAR</t>
        </is>
      </c>
      <c r="N114" s="199">
        <f>H114-K114</f>
        <v/>
      </c>
      <c r="O114" s="203" t="n"/>
      <c r="P114" s="40" t="inlineStr">
        <is>
          <t>A0201690219773</t>
        </is>
      </c>
      <c r="Q114" s="27" t="inlineStr">
        <is>
          <t>19 Feb 2026</t>
        </is>
      </c>
      <c r="R114" s="27" t="inlineStr">
        <is>
          <t>19 Feb 2026</t>
        </is>
      </c>
      <c r="S114" s="28" t="n">
        <v>31.3918</v>
      </c>
      <c r="V114" s="204" t="n"/>
    </row>
    <row r="115">
      <c r="A115" s="29" t="n">
        <v>114</v>
      </c>
      <c r="B115" s="44" t="n">
        <v>46073</v>
      </c>
      <c r="C115" s="17" t="inlineStr">
        <is>
          <t>S 120476</t>
        </is>
      </c>
      <c r="D115" s="18" t="inlineStr">
        <is>
          <t>UMT</t>
        </is>
      </c>
      <c r="E115" s="85" t="inlineStr">
        <is>
          <t>800-0041</t>
        </is>
      </c>
      <c r="F115" s="193" t="n">
        <v>600</v>
      </c>
      <c r="G115" s="205" t="inlineStr">
        <is>
          <t>20026730-00</t>
        </is>
      </c>
      <c r="H115" s="196" t="n">
        <v>13620</v>
      </c>
      <c r="I115" s="196" t="inlineStr">
        <is>
          <t>USD</t>
        </is>
      </c>
      <c r="J115" s="196" t="n"/>
      <c r="K115" s="197" t="n">
        <v>13620</v>
      </c>
      <c r="L115" s="198">
        <f>K115*S115</f>
        <v/>
      </c>
      <c r="M115" s="47" t="inlineStr">
        <is>
          <t>SOLAR</t>
        </is>
      </c>
      <c r="N115" s="199">
        <f>H115-K115</f>
        <v/>
      </c>
      <c r="O115" s="203" t="n"/>
      <c r="P115" s="40" t="inlineStr">
        <is>
          <t>A0201690219773</t>
        </is>
      </c>
      <c r="Q115" s="27" t="inlineStr">
        <is>
          <t>19 Feb 2026</t>
        </is>
      </c>
      <c r="R115" s="27" t="inlineStr">
        <is>
          <t>19 Feb 2026</t>
        </is>
      </c>
      <c r="S115" s="28" t="n">
        <v>31.3918</v>
      </c>
      <c r="V115" s="204" t="n"/>
    </row>
    <row r="116">
      <c r="A116" s="29" t="n">
        <v>115</v>
      </c>
      <c r="B116" s="44" t="n">
        <v>46073</v>
      </c>
      <c r="C116" s="17" t="inlineStr">
        <is>
          <t>S 120477</t>
        </is>
      </c>
      <c r="D116" s="18" t="inlineStr">
        <is>
          <t>UMT</t>
        </is>
      </c>
      <c r="E116" s="85" t="inlineStr">
        <is>
          <t>800-0041</t>
        </is>
      </c>
      <c r="F116" s="193" t="n">
        <v>567</v>
      </c>
      <c r="G116" s="205" t="inlineStr">
        <is>
          <t>20026730-00</t>
        </is>
      </c>
      <c r="H116" s="196" t="n">
        <v>12870.9</v>
      </c>
      <c r="I116" s="196" t="inlineStr">
        <is>
          <t>USD</t>
        </is>
      </c>
      <c r="J116" s="196" t="n"/>
      <c r="K116" s="197" t="n">
        <v>12870.9</v>
      </c>
      <c r="L116" s="198">
        <f>K116*S116</f>
        <v/>
      </c>
      <c r="M116" s="47" t="inlineStr">
        <is>
          <t>SOLAR</t>
        </is>
      </c>
      <c r="N116" s="199">
        <f>H116-K116</f>
        <v/>
      </c>
      <c r="O116" s="203" t="n"/>
      <c r="P116" s="40" t="inlineStr">
        <is>
          <t>A0201690219773</t>
        </is>
      </c>
      <c r="Q116" s="27" t="inlineStr">
        <is>
          <t>19 Feb 2026</t>
        </is>
      </c>
      <c r="R116" s="27" t="inlineStr">
        <is>
          <t>19 Feb 2026</t>
        </is>
      </c>
      <c r="S116" s="28" t="n">
        <v>31.3918</v>
      </c>
      <c r="V116" s="204" t="n"/>
    </row>
    <row r="117">
      <c r="A117" s="29" t="n">
        <v>116</v>
      </c>
      <c r="B117" s="44" t="n">
        <v>46073</v>
      </c>
      <c r="C117" s="17" t="inlineStr">
        <is>
          <t>S 120478</t>
        </is>
      </c>
      <c r="D117" s="18" t="inlineStr">
        <is>
          <t>PISANU</t>
        </is>
      </c>
      <c r="E117" s="85" t="inlineStr">
        <is>
          <t>A-41010201</t>
        </is>
      </c>
      <c r="F117" s="193" t="n">
        <v>1</v>
      </c>
      <c r="G117" s="205" t="inlineStr">
        <is>
          <t>OTHER INCOME</t>
        </is>
      </c>
      <c r="H117" s="196">
        <f>J117+L117</f>
        <v/>
      </c>
      <c r="I117" s="196" t="inlineStr">
        <is>
          <t>THB</t>
        </is>
      </c>
      <c r="J117" s="196">
        <f>L117*7/100</f>
        <v/>
      </c>
      <c r="K117" s="197" t="n"/>
      <c r="L117" s="198" t="n">
        <v>3364.49</v>
      </c>
      <c r="M117" s="47" t="inlineStr">
        <is>
          <t>NONB</t>
        </is>
      </c>
      <c r="N117" s="199">
        <f>H117-K117</f>
        <v/>
      </c>
      <c r="O117" s="203" t="n"/>
      <c r="P117" s="40" t="n"/>
      <c r="Q117" s="27" t="n"/>
      <c r="R117" s="27" t="n"/>
      <c r="S117" s="28" t="n"/>
      <c r="V117" s="204" t="n"/>
    </row>
    <row r="118">
      <c r="A118" s="29" t="n">
        <v>117</v>
      </c>
      <c r="B118" s="44" t="n">
        <v>46076</v>
      </c>
      <c r="C118" s="17" t="inlineStr">
        <is>
          <t>S 120479</t>
        </is>
      </c>
      <c r="D118" s="18" t="inlineStr">
        <is>
          <t>TKC PROGRE</t>
        </is>
      </c>
      <c r="E118" s="85" t="inlineStr">
        <is>
          <t>125-0012</t>
        </is>
      </c>
      <c r="F118" s="193" t="n">
        <v>1</v>
      </c>
      <c r="G118" s="205" t="inlineStr">
        <is>
          <t>Sealing, 73101</t>
        </is>
      </c>
      <c r="H118" s="196">
        <f>J118+L118</f>
        <v/>
      </c>
      <c r="I118" s="196" t="inlineStr">
        <is>
          <t>THB</t>
        </is>
      </c>
      <c r="J118" s="196">
        <f>L118*7/100</f>
        <v/>
      </c>
      <c r="K118" s="197" t="n"/>
      <c r="L118" s="198" t="n">
        <v>250</v>
      </c>
      <c r="M118" s="47" t="inlineStr">
        <is>
          <t>NONB</t>
        </is>
      </c>
      <c r="N118" s="199">
        <f>H118-K118</f>
        <v/>
      </c>
      <c r="O118" s="203" t="n"/>
      <c r="P118" s="40" t="n"/>
      <c r="Q118" s="27" t="n"/>
      <c r="R118" s="27" t="n"/>
      <c r="S118" s="28" t="n"/>
      <c r="V118" s="204" t="n"/>
    </row>
    <row r="119">
      <c r="A119" s="29" t="n">
        <v>118</v>
      </c>
      <c r="B119" s="44" t="n">
        <v>46076</v>
      </c>
      <c r="C119" s="17" t="inlineStr">
        <is>
          <t>S 120479</t>
        </is>
      </c>
      <c r="D119" s="18" t="inlineStr">
        <is>
          <t>TKC PROGRE</t>
        </is>
      </c>
      <c r="E119" s="85" t="inlineStr">
        <is>
          <t>350-0097</t>
        </is>
      </c>
      <c r="F119" s="193" t="n">
        <v>1</v>
      </c>
      <c r="G119" s="205" t="inlineStr">
        <is>
          <t>Blowdown Valve Filter 70166</t>
        </is>
      </c>
      <c r="H119" s="196">
        <f>J119+L119</f>
        <v/>
      </c>
      <c r="I119" s="196" t="inlineStr">
        <is>
          <t>THB</t>
        </is>
      </c>
      <c r="J119" s="196">
        <f>L119*7/100</f>
        <v/>
      </c>
      <c r="K119" s="197" t="n"/>
      <c r="L119" s="198" t="n">
        <v>2170</v>
      </c>
      <c r="M119" s="47" t="inlineStr">
        <is>
          <t>NONB</t>
        </is>
      </c>
      <c r="N119" s="199">
        <f>H119-K119</f>
        <v/>
      </c>
      <c r="O119" s="203" t="n"/>
      <c r="P119" s="40" t="n"/>
      <c r="Q119" s="27" t="n"/>
      <c r="R119" s="27" t="n"/>
      <c r="S119" s="28" t="n"/>
      <c r="V119" s="204" t="n"/>
    </row>
    <row r="120">
      <c r="A120" s="29" t="n">
        <v>119</v>
      </c>
      <c r="B120" s="44" t="n">
        <v>46076</v>
      </c>
      <c r="C120" s="17" t="inlineStr">
        <is>
          <t>S 120479</t>
        </is>
      </c>
      <c r="D120" s="18" t="inlineStr">
        <is>
          <t>TKC PROGRE</t>
        </is>
      </c>
      <c r="E120" s="85" t="inlineStr">
        <is>
          <t>350-0098</t>
        </is>
      </c>
      <c r="F120" s="193" t="n">
        <v>1</v>
      </c>
      <c r="G120" s="205" t="inlineStr">
        <is>
          <t>Oil Seperator element 57029</t>
        </is>
      </c>
      <c r="H120" s="196">
        <f>J120+L120</f>
        <v/>
      </c>
      <c r="I120" s="196" t="inlineStr">
        <is>
          <t>THB</t>
        </is>
      </c>
      <c r="J120" s="196">
        <f>L120*7/100</f>
        <v/>
      </c>
      <c r="K120" s="197" t="n"/>
      <c r="L120" s="198" t="n">
        <v>2350</v>
      </c>
      <c r="M120" s="47" t="inlineStr">
        <is>
          <t>NONB</t>
        </is>
      </c>
      <c r="N120" s="199">
        <f>H120-K120</f>
        <v/>
      </c>
      <c r="O120" s="203" t="n"/>
      <c r="P120" s="40" t="n"/>
      <c r="Q120" s="27" t="n"/>
      <c r="R120" s="27" t="n"/>
      <c r="S120" s="28" t="n"/>
      <c r="V120" s="204" t="n"/>
    </row>
    <row r="121">
      <c r="A121" s="29" t="n">
        <v>120</v>
      </c>
      <c r="B121" s="44" t="n">
        <v>46076</v>
      </c>
      <c r="C121" s="17" t="inlineStr">
        <is>
          <t>S 120479</t>
        </is>
      </c>
      <c r="D121" s="18" t="inlineStr">
        <is>
          <t>TKC PROGRE</t>
        </is>
      </c>
      <c r="E121" s="85" t="inlineStr">
        <is>
          <t>350-0226</t>
        </is>
      </c>
      <c r="F121" s="193" t="n">
        <v>1</v>
      </c>
      <c r="G121" s="205" t="inlineStr">
        <is>
          <t>Filter 57244</t>
        </is>
      </c>
      <c r="H121" s="196">
        <f>J121+L121</f>
        <v/>
      </c>
      <c r="I121" s="196" t="inlineStr">
        <is>
          <t>THB</t>
        </is>
      </c>
      <c r="J121" s="196">
        <f>L121*7/100</f>
        <v/>
      </c>
      <c r="K121" s="197" t="n"/>
      <c r="L121" s="198" t="n">
        <v>141</v>
      </c>
      <c r="M121" s="47" t="inlineStr">
        <is>
          <t>NONB</t>
        </is>
      </c>
      <c r="N121" s="199">
        <f>H121-K121</f>
        <v/>
      </c>
      <c r="O121" s="203" t="n"/>
      <c r="P121" s="40" t="n"/>
      <c r="Q121" s="27" t="n"/>
      <c r="R121" s="27" t="n"/>
      <c r="S121" s="28" t="n"/>
      <c r="V121" s="204" t="n"/>
    </row>
    <row r="122">
      <c r="A122" s="29" t="n">
        <v>121</v>
      </c>
      <c r="B122" s="44" t="n">
        <v>46076</v>
      </c>
      <c r="C122" s="17" t="inlineStr">
        <is>
          <t>S 120479</t>
        </is>
      </c>
      <c r="D122" s="18" t="inlineStr">
        <is>
          <t>TKC PROGRE</t>
        </is>
      </c>
      <c r="E122" s="85" t="inlineStr">
        <is>
          <t>350-0239</t>
        </is>
      </c>
      <c r="F122" s="193" t="n">
        <v>0.5</v>
      </c>
      <c r="G122" s="205" t="inlineStr">
        <is>
          <t>Oil Cooler Filter 56294</t>
        </is>
      </c>
      <c r="H122" s="196">
        <f>J122+L122</f>
        <v/>
      </c>
      <c r="I122" s="196" t="inlineStr">
        <is>
          <t>THB</t>
        </is>
      </c>
      <c r="J122" s="196">
        <f>L122*7/100</f>
        <v/>
      </c>
      <c r="K122" s="197" t="n"/>
      <c r="L122" s="198" t="n">
        <v>650</v>
      </c>
      <c r="M122" s="47" t="inlineStr">
        <is>
          <t>NONB</t>
        </is>
      </c>
      <c r="N122" s="199">
        <f>H122-K122</f>
        <v/>
      </c>
      <c r="O122" s="203" t="n"/>
      <c r="P122" s="40" t="n"/>
      <c r="Q122" s="27" t="n"/>
      <c r="R122" s="27" t="n"/>
      <c r="S122" s="28" t="n"/>
      <c r="V122" s="204" t="n"/>
    </row>
    <row r="123">
      <c r="A123" s="29" t="n">
        <v>122</v>
      </c>
      <c r="B123" s="44" t="n">
        <v>46076</v>
      </c>
      <c r="C123" s="17" t="inlineStr">
        <is>
          <t>S 120480</t>
        </is>
      </c>
      <c r="D123" s="18" t="inlineStr">
        <is>
          <t>PLYMOVENT</t>
        </is>
      </c>
      <c r="E123" s="85" t="inlineStr">
        <is>
          <t>900-0130</t>
        </is>
      </c>
      <c r="F123" s="193" t="n">
        <v>200</v>
      </c>
      <c r="G123" s="205" t="inlineStr">
        <is>
          <t>Rotary encoder PCB Rev 1.0</t>
        </is>
      </c>
      <c r="H123" s="196">
        <f>J123+L123</f>
        <v/>
      </c>
      <c r="I123" s="196" t="inlineStr">
        <is>
          <t>THB</t>
        </is>
      </c>
      <c r="J123" s="196">
        <f>L123*7/100</f>
        <v/>
      </c>
      <c r="K123" s="197" t="n"/>
      <c r="L123" s="198" t="n">
        <v>49000</v>
      </c>
      <c r="M123" s="47" t="inlineStr">
        <is>
          <t>SOLAR</t>
        </is>
      </c>
      <c r="N123" s="199">
        <f>H123-K123</f>
        <v/>
      </c>
      <c r="O123" s="203" t="n"/>
      <c r="P123" s="40" t="n"/>
      <c r="Q123" s="27" t="n"/>
      <c r="R123" s="27" t="n"/>
      <c r="S123" s="28" t="n"/>
      <c r="V123" s="204" t="n"/>
    </row>
    <row r="124">
      <c r="A124" s="29" t="n">
        <v>123</v>
      </c>
      <c r="B124" s="44" t="n">
        <v>46076</v>
      </c>
      <c r="C124" s="17" t="inlineStr">
        <is>
          <t>S 120481</t>
        </is>
      </c>
      <c r="D124" s="18" t="inlineStr">
        <is>
          <t>PLYMOVENT</t>
        </is>
      </c>
      <c r="E124" s="85" t="inlineStr">
        <is>
          <t>900-0131</t>
        </is>
      </c>
      <c r="F124" s="193" t="n">
        <v>200</v>
      </c>
      <c r="G124" s="205" t="inlineStr">
        <is>
          <t>Potentiometer PCB HVU</t>
        </is>
      </c>
      <c r="H124" s="196">
        <f>J124+L124</f>
        <v/>
      </c>
      <c r="I124" s="196" t="inlineStr">
        <is>
          <t>THB</t>
        </is>
      </c>
      <c r="J124" s="196">
        <f>L124*7/100</f>
        <v/>
      </c>
      <c r="K124" s="197" t="n"/>
      <c r="L124" s="198" t="n">
        <v>17000</v>
      </c>
      <c r="M124" s="47" t="inlineStr">
        <is>
          <t>SOLAR</t>
        </is>
      </c>
      <c r="N124" s="199">
        <f>H124-K124</f>
        <v/>
      </c>
      <c r="O124" s="203" t="n"/>
      <c r="P124" s="40" t="n"/>
      <c r="R124" s="27" t="n"/>
      <c r="S124" s="28" t="n"/>
      <c r="V124" s="204" t="n"/>
    </row>
    <row r="125">
      <c r="A125" s="29" t="n">
        <v>124</v>
      </c>
      <c r="B125" s="44" t="n">
        <v>46077</v>
      </c>
      <c r="C125" s="17" t="inlineStr">
        <is>
          <t>S 120482</t>
        </is>
      </c>
      <c r="D125" s="18" t="inlineStr">
        <is>
          <t>UMT</t>
        </is>
      </c>
      <c r="E125" s="85" t="inlineStr">
        <is>
          <t>820-0094</t>
        </is>
      </c>
      <c r="F125" s="193" t="n">
        <v>50</v>
      </c>
      <c r="G125" s="205" t="inlineStr">
        <is>
          <t>8402607289 _Kabel_konfektioniert</t>
        </is>
      </c>
      <c r="H125" s="196" t="n">
        <v>400</v>
      </c>
      <c r="I125" s="196" t="inlineStr">
        <is>
          <t>USD</t>
        </is>
      </c>
      <c r="J125" s="196" t="n"/>
      <c r="K125" s="196" t="n">
        <v>400</v>
      </c>
      <c r="L125" s="198">
        <f>K125*S125</f>
        <v/>
      </c>
      <c r="M125" s="47" t="inlineStr">
        <is>
          <t>SOLAR</t>
        </is>
      </c>
      <c r="N125" s="199">
        <f>H125-K125</f>
        <v/>
      </c>
      <c r="O125" s="203" t="n"/>
      <c r="P125" s="40" t="inlineStr">
        <is>
          <t>A0241690216243</t>
        </is>
      </c>
      <c r="Q125" s="27" t="inlineStr">
        <is>
          <t>23 Feb 2026</t>
        </is>
      </c>
      <c r="R125" s="27" t="inlineStr">
        <is>
          <t>23 Feb 2026</t>
        </is>
      </c>
      <c r="S125" s="28" t="n">
        <v>31.1964</v>
      </c>
      <c r="V125" s="204" t="n"/>
    </row>
    <row r="126">
      <c r="A126" s="29" t="n">
        <v>125</v>
      </c>
      <c r="B126" s="44" t="n">
        <v>46077</v>
      </c>
      <c r="C126" s="17" t="inlineStr">
        <is>
          <t>S 120482</t>
        </is>
      </c>
      <c r="D126" s="18" t="inlineStr">
        <is>
          <t>UMT</t>
        </is>
      </c>
      <c r="E126" s="85" t="inlineStr">
        <is>
          <t>820-0079</t>
        </is>
      </c>
      <c r="F126" s="193" t="n">
        <v>50</v>
      </c>
      <c r="G126" s="205" t="inlineStr">
        <is>
          <t>8402606916</t>
        </is>
      </c>
      <c r="H126" s="196" t="n">
        <v>400</v>
      </c>
      <c r="I126" s="196" t="inlineStr">
        <is>
          <t>USD</t>
        </is>
      </c>
      <c r="J126" s="196" t="n"/>
      <c r="K126" s="196" t="n">
        <v>400</v>
      </c>
      <c r="L126" s="198">
        <f>K126*S126</f>
        <v/>
      </c>
      <c r="M126" s="47" t="inlineStr">
        <is>
          <t>SOLAR</t>
        </is>
      </c>
      <c r="N126" s="199">
        <f>H126-K126</f>
        <v/>
      </c>
      <c r="O126" s="203" t="n"/>
      <c r="P126" s="40" t="inlineStr">
        <is>
          <t>A0241690216243</t>
        </is>
      </c>
      <c r="Q126" s="27" t="inlineStr">
        <is>
          <t>23 Feb 2026</t>
        </is>
      </c>
      <c r="R126" s="27" t="inlineStr">
        <is>
          <t>23 Feb 2026</t>
        </is>
      </c>
      <c r="S126" s="28" t="n">
        <v>31.1964</v>
      </c>
      <c r="V126" s="204" t="n"/>
    </row>
    <row r="127">
      <c r="A127" s="29" t="n">
        <v>126</v>
      </c>
      <c r="B127" s="44" t="n">
        <v>46077</v>
      </c>
      <c r="C127" s="17" t="inlineStr">
        <is>
          <t>S 120482</t>
        </is>
      </c>
      <c r="D127" s="18" t="inlineStr">
        <is>
          <t>UMT</t>
        </is>
      </c>
      <c r="E127" s="85" t="inlineStr">
        <is>
          <t>820-0300</t>
        </is>
      </c>
      <c r="F127" s="193" t="n">
        <v>50</v>
      </c>
      <c r="G127" s="205" t="inlineStr">
        <is>
          <t>8402612465 Cable harness DSE1010.07P8HZ</t>
        </is>
      </c>
      <c r="H127" s="196" t="n">
        <v>400</v>
      </c>
      <c r="I127" s="196" t="inlineStr">
        <is>
          <t>USD</t>
        </is>
      </c>
      <c r="J127" s="196" t="n"/>
      <c r="K127" s="196" t="n">
        <v>400</v>
      </c>
      <c r="L127" s="198">
        <f>K127*S127</f>
        <v/>
      </c>
      <c r="M127" s="47" t="inlineStr">
        <is>
          <t>SOLAR</t>
        </is>
      </c>
      <c r="N127" s="199">
        <f>H127-K127</f>
        <v/>
      </c>
      <c r="O127" s="203" t="n"/>
      <c r="P127" s="40" t="inlineStr">
        <is>
          <t>A0241690216243</t>
        </is>
      </c>
      <c r="Q127" s="27" t="inlineStr">
        <is>
          <t>23 Feb 2026</t>
        </is>
      </c>
      <c r="R127" s="27" t="inlineStr">
        <is>
          <t>23 Feb 2026</t>
        </is>
      </c>
      <c r="S127" s="28" t="n">
        <v>31.1964</v>
      </c>
      <c r="V127" s="204" t="n"/>
    </row>
    <row r="128">
      <c r="A128" s="29" t="n">
        <v>127</v>
      </c>
      <c r="B128" s="44" t="n">
        <v>46077</v>
      </c>
      <c r="C128" s="17" t="inlineStr">
        <is>
          <t>S 120482</t>
        </is>
      </c>
      <c r="D128" s="18" t="inlineStr">
        <is>
          <t>UMT</t>
        </is>
      </c>
      <c r="E128" s="85" t="inlineStr">
        <is>
          <t>820-0006</t>
        </is>
      </c>
      <c r="F128" s="193" t="n">
        <v>10</v>
      </c>
      <c r="G128" s="205" t="inlineStr">
        <is>
          <t>304F-73301 Cable harness DSE1210.10 PHZ</t>
        </is>
      </c>
      <c r="H128" s="196" t="n">
        <v>80</v>
      </c>
      <c r="I128" s="196" t="inlineStr">
        <is>
          <t>USD</t>
        </is>
      </c>
      <c r="J128" s="196" t="n"/>
      <c r="K128" s="196" t="n">
        <v>80</v>
      </c>
      <c r="L128" s="198">
        <f>K128*S128</f>
        <v/>
      </c>
      <c r="M128" s="47" t="inlineStr">
        <is>
          <t>SOLAR</t>
        </is>
      </c>
      <c r="N128" s="199">
        <f>H128-K128</f>
        <v/>
      </c>
      <c r="O128" s="203" t="n"/>
      <c r="P128" s="40" t="inlineStr">
        <is>
          <t>A0241690216243</t>
        </is>
      </c>
      <c r="Q128" s="27" t="inlineStr">
        <is>
          <t>23 Feb 2026</t>
        </is>
      </c>
      <c r="R128" s="27" t="inlineStr">
        <is>
          <t>23 Feb 2026</t>
        </is>
      </c>
      <c r="S128" s="28" t="n">
        <v>31.1964</v>
      </c>
      <c r="V128" s="204" t="n"/>
    </row>
    <row r="129">
      <c r="A129" s="29" t="n">
        <v>128</v>
      </c>
      <c r="B129" s="44" t="n">
        <v>46077</v>
      </c>
      <c r="C129" s="17" t="inlineStr">
        <is>
          <t>S 120482</t>
        </is>
      </c>
      <c r="D129" s="18" t="inlineStr">
        <is>
          <t>UMT</t>
        </is>
      </c>
      <c r="E129" s="85" t="inlineStr">
        <is>
          <t>820-0006</t>
        </is>
      </c>
      <c r="F129" s="193" t="n">
        <v>50</v>
      </c>
      <c r="G129" s="205" t="inlineStr">
        <is>
          <t>304F-73301 Cable harness DSE1210.10 PHZ</t>
        </is>
      </c>
      <c r="H129" s="196" t="n">
        <v>400</v>
      </c>
      <c r="I129" s="196" t="inlineStr">
        <is>
          <t>USD</t>
        </is>
      </c>
      <c r="J129" s="196" t="n"/>
      <c r="K129" s="196" t="n">
        <v>400</v>
      </c>
      <c r="L129" s="198">
        <f>K129*S129</f>
        <v/>
      </c>
      <c r="M129" s="47" t="inlineStr">
        <is>
          <t>SOLAR</t>
        </is>
      </c>
      <c r="N129" s="199">
        <f>H129-K129</f>
        <v/>
      </c>
      <c r="O129" s="203" t="n"/>
      <c r="P129" s="40" t="inlineStr">
        <is>
          <t>A0241690216243</t>
        </is>
      </c>
      <c r="Q129" s="27" t="inlineStr">
        <is>
          <t>23 Feb 2026</t>
        </is>
      </c>
      <c r="R129" s="27" t="inlineStr">
        <is>
          <t>23 Feb 2026</t>
        </is>
      </c>
      <c r="S129" s="28" t="n">
        <v>31.1964</v>
      </c>
      <c r="V129" s="204" t="n"/>
    </row>
    <row r="130">
      <c r="A130" s="29" t="n">
        <v>129</v>
      </c>
      <c r="B130" s="44" t="n">
        <v>46077</v>
      </c>
      <c r="C130" s="17" t="inlineStr">
        <is>
          <t>S 120483</t>
        </is>
      </c>
      <c r="D130" s="18" t="inlineStr">
        <is>
          <t>UMT</t>
        </is>
      </c>
      <c r="E130" s="85" t="inlineStr">
        <is>
          <t>800-0041</t>
        </is>
      </c>
      <c r="F130" s="193" t="n">
        <v>42</v>
      </c>
      <c r="G130" s="205" t="inlineStr">
        <is>
          <t>20026730-00</t>
        </is>
      </c>
      <c r="H130" s="196" t="n">
        <v>953.4</v>
      </c>
      <c r="I130" s="196" t="inlineStr">
        <is>
          <t>USD</t>
        </is>
      </c>
      <c r="J130" s="196" t="n"/>
      <c r="K130" s="197" t="n">
        <v>953.4</v>
      </c>
      <c r="L130" s="198">
        <f>K130*S130</f>
        <v/>
      </c>
      <c r="M130" s="47" t="inlineStr">
        <is>
          <t>SOLAR</t>
        </is>
      </c>
      <c r="N130" s="199">
        <f>H130-K130</f>
        <v/>
      </c>
      <c r="O130" s="203" t="n"/>
      <c r="P130" s="40" t="inlineStr">
        <is>
          <t>A0241690216243</t>
        </is>
      </c>
      <c r="Q130" s="27" t="inlineStr">
        <is>
          <t>23 Feb 2026</t>
        </is>
      </c>
      <c r="R130" s="27" t="inlineStr">
        <is>
          <t>23 Feb 2026</t>
        </is>
      </c>
      <c r="S130" s="28" t="n">
        <v>31.1964</v>
      </c>
      <c r="V130" s="204" t="n"/>
    </row>
    <row r="131">
      <c r="A131" s="29" t="n">
        <v>130</v>
      </c>
      <c r="B131" s="44" t="n">
        <v>46077</v>
      </c>
      <c r="C131" s="17" t="inlineStr">
        <is>
          <t>S 120484</t>
        </is>
      </c>
      <c r="D131" s="18" t="inlineStr">
        <is>
          <t>UMT</t>
        </is>
      </c>
      <c r="E131" s="85" t="inlineStr">
        <is>
          <t>800-0029</t>
        </is>
      </c>
      <c r="F131" s="193" t="n">
        <v>323</v>
      </c>
      <c r="G131" s="205" t="inlineStr">
        <is>
          <t>20007401-00</t>
        </is>
      </c>
      <c r="H131" s="196" t="n">
        <v>7429</v>
      </c>
      <c r="I131" s="196" t="inlineStr">
        <is>
          <t>USD</t>
        </is>
      </c>
      <c r="J131" s="196" t="n"/>
      <c r="K131" s="197" t="n">
        <v>7429</v>
      </c>
      <c r="L131" s="198">
        <f>K131*S131</f>
        <v/>
      </c>
      <c r="M131" s="47" t="inlineStr">
        <is>
          <t>SOLAR</t>
        </is>
      </c>
      <c r="N131" s="199">
        <f>H131-K131</f>
        <v/>
      </c>
      <c r="O131" s="203" t="n"/>
      <c r="P131" s="40" t="inlineStr">
        <is>
          <t>A0241690216243</t>
        </is>
      </c>
      <c r="Q131" s="27" t="inlineStr">
        <is>
          <t>23 Feb 2026</t>
        </is>
      </c>
      <c r="R131" s="27" t="inlineStr">
        <is>
          <t>23 Feb 2026</t>
        </is>
      </c>
      <c r="S131" s="28" t="n">
        <v>31.1964</v>
      </c>
      <c r="V131" s="204" t="n"/>
    </row>
    <row r="132">
      <c r="A132" s="29" t="n">
        <v>131</v>
      </c>
      <c r="B132" s="16" t="n">
        <v>46077</v>
      </c>
      <c r="C132" s="86" t="inlineStr">
        <is>
          <t>S 120485</t>
        </is>
      </c>
      <c r="D132" s="87" t="inlineStr">
        <is>
          <t>FARPOINTE3</t>
        </is>
      </c>
      <c r="E132" s="88" t="inlineStr">
        <is>
          <t>110-0044</t>
        </is>
      </c>
      <c r="F132" s="209" t="n">
        <v>10000</v>
      </c>
      <c r="G132" s="223" t="inlineStr">
        <is>
          <t>21361-001 TX Bottom Cover</t>
        </is>
      </c>
      <c r="H132" s="197" t="n">
        <v>2500</v>
      </c>
      <c r="I132" s="197" t="inlineStr">
        <is>
          <t>USD</t>
        </is>
      </c>
      <c r="J132" s="197" t="n"/>
      <c r="K132" s="197" t="n">
        <v>2500</v>
      </c>
      <c r="L132" s="198">
        <f>K132*S132</f>
        <v/>
      </c>
      <c r="M132" s="90" t="inlineStr">
        <is>
          <t>NONB</t>
        </is>
      </c>
      <c r="N132" s="199">
        <f>H132-K132</f>
        <v/>
      </c>
      <c r="O132" s="203" t="n"/>
      <c r="P132" s="40" t="inlineStr">
        <is>
          <t>A0251690205635</t>
        </is>
      </c>
      <c r="Q132" s="27" t="inlineStr">
        <is>
          <t>24 Feb 2026</t>
        </is>
      </c>
      <c r="R132" s="27" t="inlineStr">
        <is>
          <t>24 Feb 2026</t>
        </is>
      </c>
      <c r="S132" s="28" t="n">
        <v>31.2084</v>
      </c>
      <c r="V132" s="204" t="n"/>
    </row>
    <row r="133">
      <c r="A133" s="29" t="n">
        <v>132</v>
      </c>
      <c r="B133" s="16" t="n">
        <v>46077</v>
      </c>
      <c r="C133" s="86" t="inlineStr">
        <is>
          <t>S 120486</t>
        </is>
      </c>
      <c r="D133" s="87" t="inlineStr">
        <is>
          <t>AUTORUN</t>
        </is>
      </c>
      <c r="E133" s="88" t="inlineStr">
        <is>
          <t>121-2236</t>
        </is>
      </c>
      <c r="F133" s="209" t="n">
        <v>30</v>
      </c>
      <c r="G133" s="223" t="inlineStr">
        <is>
          <t>Nylon Bushing, OD 30mm</t>
        </is>
      </c>
      <c r="H133" s="197" t="n">
        <v>145.8</v>
      </c>
      <c r="I133" s="197" t="inlineStr">
        <is>
          <t>USD</t>
        </is>
      </c>
      <c r="J133" s="197" t="n"/>
      <c r="K133" s="197" t="n">
        <v>145.8</v>
      </c>
      <c r="L133" s="198">
        <f>K133*S133</f>
        <v/>
      </c>
      <c r="M133" s="90" t="inlineStr">
        <is>
          <t>NONB</t>
        </is>
      </c>
      <c r="N133" s="199">
        <f>H133-K133</f>
        <v/>
      </c>
      <c r="O133" s="203" t="n"/>
      <c r="P133" s="40" t="inlineStr">
        <is>
          <t>A0251690207483</t>
        </is>
      </c>
      <c r="Q133" s="27" t="inlineStr">
        <is>
          <t>24 Feb 2026</t>
        </is>
      </c>
      <c r="R133" s="27" t="inlineStr">
        <is>
          <t>24 Feb 2026</t>
        </is>
      </c>
      <c r="S133" s="28" t="n">
        <v>31.2084</v>
      </c>
      <c r="V133" s="204" t="n"/>
    </row>
    <row r="134">
      <c r="A134" s="29" t="n">
        <v>133</v>
      </c>
      <c r="B134" s="44" t="n">
        <v>46077</v>
      </c>
      <c r="C134" s="17" t="inlineStr">
        <is>
          <t>S 120487</t>
        </is>
      </c>
      <c r="D134" s="18" t="inlineStr">
        <is>
          <t>FARPOINTE3</t>
        </is>
      </c>
      <c r="E134" s="193" t="inlineStr">
        <is>
          <t>A-41010000</t>
        </is>
      </c>
      <c r="F134" s="193" t="n">
        <v>1</v>
      </c>
      <c r="G134" s="205" t="inlineStr">
        <is>
          <t>Shipping Charge Base on 3.98 Kgs. Ref.S120420</t>
        </is>
      </c>
      <c r="H134" s="196" t="n">
        <v>140.43</v>
      </c>
      <c r="I134" s="196" t="inlineStr">
        <is>
          <t>USD</t>
        </is>
      </c>
      <c r="J134" s="91" t="n"/>
      <c r="K134" s="197" t="n">
        <v>140.43</v>
      </c>
      <c r="L134" s="198">
        <f>K134*S134</f>
        <v/>
      </c>
      <c r="M134" s="47" t="inlineStr">
        <is>
          <t>SOLAR</t>
        </is>
      </c>
      <c r="N134" s="224">
        <f>H134-K134</f>
        <v/>
      </c>
      <c r="O134" s="203" t="n"/>
      <c r="P134" s="40" t="n"/>
      <c r="Q134" s="27" t="inlineStr">
        <is>
          <t>23 Feb 2026</t>
        </is>
      </c>
      <c r="R134" s="27" t="inlineStr">
        <is>
          <t>23 Feb 2026</t>
        </is>
      </c>
      <c r="S134" s="28" t="n">
        <v>31.1964</v>
      </c>
      <c r="V134" s="204" t="n"/>
    </row>
    <row r="135">
      <c r="A135" s="29" t="n">
        <v>134</v>
      </c>
      <c r="B135" s="44" t="n">
        <v>46077</v>
      </c>
      <c r="C135" s="17" t="inlineStr">
        <is>
          <t>S 120488</t>
        </is>
      </c>
      <c r="D135" s="18" t="inlineStr">
        <is>
          <t>FARPOINTE3</t>
        </is>
      </c>
      <c r="E135" s="193" t="inlineStr">
        <is>
          <t>A-41010000</t>
        </is>
      </c>
      <c r="F135" s="193" t="n">
        <v>1</v>
      </c>
      <c r="G135" s="205" t="inlineStr">
        <is>
          <t>Shipping Charge Base on 3.98 Kgs. Ref.S120444</t>
        </is>
      </c>
      <c r="H135" s="196" t="n">
        <v>140.43</v>
      </c>
      <c r="I135" s="196" t="inlineStr">
        <is>
          <t>USD</t>
        </is>
      </c>
      <c r="J135" s="196" t="n"/>
      <c r="K135" s="197" t="n">
        <v>140.43</v>
      </c>
      <c r="L135" s="198">
        <f>K135*S135</f>
        <v/>
      </c>
      <c r="M135" s="47" t="inlineStr">
        <is>
          <t>SOLAR</t>
        </is>
      </c>
      <c r="N135" s="224">
        <f>H135-K135</f>
        <v/>
      </c>
      <c r="O135" s="203" t="n"/>
      <c r="P135" s="40" t="n"/>
      <c r="Q135" s="27" t="inlineStr">
        <is>
          <t>23 Feb 2026</t>
        </is>
      </c>
      <c r="R135" s="27" t="inlineStr">
        <is>
          <t>23 Feb 2026</t>
        </is>
      </c>
      <c r="S135" s="28" t="n">
        <v>31.1964</v>
      </c>
      <c r="V135" s="204" t="n"/>
    </row>
    <row r="136">
      <c r="A136" s="29" t="n">
        <v>135</v>
      </c>
      <c r="B136" s="67" t="n">
        <v>46078</v>
      </c>
      <c r="C136" s="68" t="inlineStr">
        <is>
          <t>S 120489</t>
        </is>
      </c>
      <c r="D136" s="69" t="inlineStr">
        <is>
          <t>UMT</t>
        </is>
      </c>
      <c r="E136" s="29" t="inlineStr">
        <is>
          <t>720-0186</t>
        </is>
      </c>
      <c r="F136" s="214" t="n">
        <v>600</v>
      </c>
      <c r="G136" s="220" t="inlineStr">
        <is>
          <t>20031173-01 Cable harness H7</t>
        </is>
      </c>
      <c r="H136" s="184" t="n">
        <v>3060</v>
      </c>
      <c r="I136" s="184" t="inlineStr">
        <is>
          <t>USD</t>
        </is>
      </c>
      <c r="K136" s="202" t="n"/>
      <c r="L136" s="185">
        <f>K136*S136</f>
        <v/>
      </c>
      <c r="M136" s="73" t="inlineStr">
        <is>
          <t>SOLAR</t>
        </is>
      </c>
      <c r="N136" s="199">
        <f>H136-K136</f>
        <v/>
      </c>
      <c r="O136" s="203" t="n"/>
      <c r="P136" s="40" t="n"/>
      <c r="Q136" s="27" t="n"/>
      <c r="R136" s="27" t="n"/>
      <c r="S136" s="28" t="n"/>
      <c r="V136" s="204" t="n"/>
    </row>
    <row r="137">
      <c r="A137" s="29" t="n">
        <v>136</v>
      </c>
      <c r="B137" s="67" t="n">
        <v>46079</v>
      </c>
      <c r="C137" s="68" t="inlineStr">
        <is>
          <t>S 120490</t>
        </is>
      </c>
      <c r="D137" s="69" t="inlineStr">
        <is>
          <t>UMT</t>
        </is>
      </c>
      <c r="E137" s="29" t="inlineStr">
        <is>
          <t>720-0186</t>
        </is>
      </c>
      <c r="F137" s="214" t="n">
        <v>780</v>
      </c>
      <c r="G137" s="220" t="inlineStr">
        <is>
          <t>20031173-01 Cable harness H7</t>
        </is>
      </c>
      <c r="H137" s="184" t="n">
        <v>3978</v>
      </c>
      <c r="I137" s="184" t="inlineStr">
        <is>
          <t>USD</t>
        </is>
      </c>
      <c r="K137" s="202" t="n"/>
      <c r="L137" s="185">
        <f>K137*S137</f>
        <v/>
      </c>
      <c r="M137" s="73" t="inlineStr">
        <is>
          <t>SOLAR</t>
        </is>
      </c>
      <c r="N137" s="199">
        <f>H137-K137</f>
        <v/>
      </c>
      <c r="O137" s="203" t="n"/>
      <c r="P137" s="40" t="n"/>
      <c r="Q137" s="27" t="n"/>
      <c r="R137" s="27" t="n"/>
      <c r="S137" s="28" t="n"/>
      <c r="V137" s="204" t="n"/>
    </row>
    <row r="138">
      <c r="A138" s="29" t="n">
        <v>137</v>
      </c>
      <c r="B138" s="67" t="n">
        <v>46079</v>
      </c>
      <c r="C138" s="68" t="inlineStr">
        <is>
          <t>S 120491</t>
        </is>
      </c>
      <c r="D138" s="69" t="inlineStr">
        <is>
          <t>UMT</t>
        </is>
      </c>
      <c r="E138" s="29" t="inlineStr">
        <is>
          <t>720-0207</t>
        </is>
      </c>
      <c r="F138" s="214" t="n">
        <v>10</v>
      </c>
      <c r="G138" s="220" t="inlineStr">
        <is>
          <t>20026016-1000 Cable harness H7 CTT</t>
        </is>
      </c>
      <c r="H138" s="184" t="n">
        <v>80</v>
      </c>
      <c r="I138" s="184" t="inlineStr">
        <is>
          <t>USD</t>
        </is>
      </c>
      <c r="K138" s="202" t="n"/>
      <c r="L138" s="185">
        <f>K138*S138</f>
        <v/>
      </c>
      <c r="M138" s="73" t="inlineStr">
        <is>
          <t>SOLAR</t>
        </is>
      </c>
      <c r="N138" s="199">
        <f>H138-K138</f>
        <v/>
      </c>
      <c r="O138" s="203" t="n"/>
      <c r="P138" s="40" t="n"/>
      <c r="R138" s="27" t="n"/>
      <c r="S138" s="28" t="n"/>
      <c r="V138" s="204" t="n"/>
    </row>
    <row r="139">
      <c r="A139" s="29" t="n">
        <v>138</v>
      </c>
      <c r="B139" s="44" t="n">
        <v>46079</v>
      </c>
      <c r="C139" s="17" t="inlineStr">
        <is>
          <t>S 120492</t>
        </is>
      </c>
      <c r="D139" s="18" t="inlineStr">
        <is>
          <t>FARPOINTE3</t>
        </is>
      </c>
      <c r="E139" s="85" t="inlineStr">
        <is>
          <t>890-0055</t>
        </is>
      </c>
      <c r="F139" s="193" t="n">
        <v>290</v>
      </c>
      <c r="G139" s="205" t="inlineStr">
        <is>
          <t>PCBA ATF-Access Pro V.2.84, Ship kit</t>
        </is>
      </c>
      <c r="H139" s="196" t="n">
        <v>44892</v>
      </c>
      <c r="I139" s="196" t="inlineStr">
        <is>
          <t>USD</t>
        </is>
      </c>
      <c r="J139" s="196" t="n"/>
      <c r="K139" s="197" t="n">
        <v>44892</v>
      </c>
      <c r="L139" s="198">
        <f>K139*S139</f>
        <v/>
      </c>
      <c r="M139" s="47" t="inlineStr">
        <is>
          <t>SOLAR</t>
        </is>
      </c>
      <c r="N139" s="199">
        <f>H139-K139</f>
        <v/>
      </c>
      <c r="O139" s="203" t="n"/>
      <c r="P139" s="40" t="inlineStr">
        <is>
          <t>A026-16902-11481</t>
        </is>
      </c>
      <c r="Q139" s="27" t="inlineStr">
        <is>
          <t>25 Feb 2026</t>
        </is>
      </c>
      <c r="R139" s="27" t="inlineStr">
        <is>
          <t>25 Feb 2026</t>
        </is>
      </c>
      <c r="S139" s="28" t="n">
        <v>31.2024</v>
      </c>
      <c r="V139" s="204" t="n"/>
    </row>
    <row r="140">
      <c r="A140" s="29" t="n">
        <v>139</v>
      </c>
      <c r="B140" s="44" t="n">
        <v>46079</v>
      </c>
      <c r="C140" s="17" t="inlineStr">
        <is>
          <t>S 120493</t>
        </is>
      </c>
      <c r="D140" s="18" t="inlineStr">
        <is>
          <t>UMT</t>
        </is>
      </c>
      <c r="E140" s="85" t="inlineStr">
        <is>
          <t>825-0682</t>
        </is>
      </c>
      <c r="F140" s="193" t="n">
        <v>3500</v>
      </c>
      <c r="G140" s="205" t="inlineStr">
        <is>
          <t>8402614209</t>
        </is>
      </c>
      <c r="H140" s="196" t="n">
        <v>16555</v>
      </c>
      <c r="I140" s="196" t="inlineStr">
        <is>
          <t>USD</t>
        </is>
      </c>
      <c r="J140" s="196" t="n"/>
      <c r="K140" s="197" t="n">
        <v>16555</v>
      </c>
      <c r="L140" s="198">
        <f>K140*S140</f>
        <v/>
      </c>
      <c r="M140" s="47" t="inlineStr">
        <is>
          <t>SOLAR</t>
        </is>
      </c>
      <c r="N140" s="199">
        <f>H140-K140</f>
        <v/>
      </c>
      <c r="O140" s="203" t="n"/>
      <c r="P140" s="40" t="inlineStr">
        <is>
          <t>A0271690217012</t>
        </is>
      </c>
      <c r="Q140" s="27" t="inlineStr">
        <is>
          <t>26 Feb 2026</t>
        </is>
      </c>
      <c r="R140" s="27" t="inlineStr">
        <is>
          <t>26 Feb 2026</t>
        </is>
      </c>
      <c r="S140" s="28" t="n">
        <v>31.2325</v>
      </c>
      <c r="V140" s="204" t="n"/>
    </row>
    <row r="141">
      <c r="A141" s="29" t="n">
        <v>140</v>
      </c>
      <c r="B141" s="44" t="n">
        <v>46079</v>
      </c>
      <c r="C141" s="17" t="inlineStr">
        <is>
          <t>S 120494</t>
        </is>
      </c>
      <c r="D141" s="18" t="inlineStr">
        <is>
          <t>UMT</t>
        </is>
      </c>
      <c r="E141" s="85" t="inlineStr">
        <is>
          <t>825-0679</t>
        </is>
      </c>
      <c r="F141" s="193" t="n">
        <v>1500</v>
      </c>
      <c r="G141" s="205" t="inlineStr">
        <is>
          <t>8402614211</t>
        </is>
      </c>
      <c r="H141" s="196" t="n">
        <v>10845</v>
      </c>
      <c r="I141" s="196" t="inlineStr">
        <is>
          <t>USD</t>
        </is>
      </c>
      <c r="J141" s="196" t="n"/>
      <c r="K141" s="197" t="n">
        <v>10845</v>
      </c>
      <c r="L141" s="198">
        <f>K141*S141</f>
        <v/>
      </c>
      <c r="M141" s="47" t="inlineStr">
        <is>
          <t>SOLAR</t>
        </is>
      </c>
      <c r="N141" s="199">
        <f>H141-K141</f>
        <v/>
      </c>
      <c r="O141" s="203" t="n"/>
      <c r="P141" s="40" t="inlineStr">
        <is>
          <t>A0271690217012</t>
        </is>
      </c>
      <c r="Q141" s="27" t="inlineStr">
        <is>
          <t>26 Feb 2026</t>
        </is>
      </c>
      <c r="R141" s="27" t="inlineStr">
        <is>
          <t>26 Feb 2026</t>
        </is>
      </c>
      <c r="S141" s="28" t="n">
        <v>31.2325</v>
      </c>
      <c r="V141" s="204" t="n"/>
    </row>
    <row r="142">
      <c r="A142" s="29" t="n">
        <v>141</v>
      </c>
      <c r="B142" s="44" t="n">
        <v>46079</v>
      </c>
      <c r="C142" s="17" t="inlineStr">
        <is>
          <t>S 120495</t>
        </is>
      </c>
      <c r="D142" s="18" t="inlineStr">
        <is>
          <t>UMT</t>
        </is>
      </c>
      <c r="E142" s="85" t="inlineStr">
        <is>
          <t>825-0676</t>
        </is>
      </c>
      <c r="F142" s="193" t="n">
        <v>500</v>
      </c>
      <c r="G142" s="205" t="inlineStr">
        <is>
          <t>8402613996</t>
        </is>
      </c>
      <c r="H142" s="196" t="n">
        <v>2800</v>
      </c>
      <c r="I142" s="196" t="inlineStr">
        <is>
          <t>USD</t>
        </is>
      </c>
      <c r="J142" s="196" t="n"/>
      <c r="K142" s="197" t="n">
        <v>2800</v>
      </c>
      <c r="L142" s="198">
        <f>K142*S142</f>
        <v/>
      </c>
      <c r="M142" s="47" t="inlineStr">
        <is>
          <t>SOLAR</t>
        </is>
      </c>
      <c r="N142" s="199">
        <f>H142-K142</f>
        <v/>
      </c>
      <c r="O142" s="203" t="n"/>
      <c r="P142" s="40" t="inlineStr">
        <is>
          <t>A0271690217012</t>
        </is>
      </c>
      <c r="Q142" s="27" t="inlineStr">
        <is>
          <t>26 Feb 2026</t>
        </is>
      </c>
      <c r="R142" s="27" t="inlineStr">
        <is>
          <t>26 Feb 2026</t>
        </is>
      </c>
      <c r="S142" s="28" t="n">
        <v>31.2325</v>
      </c>
      <c r="V142" s="204" t="n"/>
    </row>
    <row r="143">
      <c r="A143" s="29" t="n">
        <v>142</v>
      </c>
      <c r="B143" s="44" t="n">
        <v>46079</v>
      </c>
      <c r="C143" s="17" t="inlineStr">
        <is>
          <t>S 120496</t>
        </is>
      </c>
      <c r="D143" s="18" t="inlineStr">
        <is>
          <t>UMT</t>
        </is>
      </c>
      <c r="E143" s="85" t="inlineStr">
        <is>
          <t>820-0343</t>
        </is>
      </c>
      <c r="F143" s="193" t="n">
        <v>200</v>
      </c>
      <c r="G143" s="205" t="inlineStr">
        <is>
          <t>8402613819</t>
        </is>
      </c>
      <c r="H143" s="196" t="n">
        <v>614</v>
      </c>
      <c r="I143" s="196" t="inlineStr">
        <is>
          <t>USD</t>
        </is>
      </c>
      <c r="J143" s="196" t="n"/>
      <c r="K143" s="197" t="n">
        <v>614</v>
      </c>
      <c r="L143" s="198">
        <f>K143*S143</f>
        <v/>
      </c>
      <c r="M143" s="47" t="inlineStr">
        <is>
          <t>SOLAR</t>
        </is>
      </c>
      <c r="N143" s="199">
        <f>H143-K143</f>
        <v/>
      </c>
      <c r="O143" s="203" t="n"/>
      <c r="P143" s="40" t="inlineStr">
        <is>
          <t>A0271690217012</t>
        </is>
      </c>
      <c r="Q143" s="27" t="inlineStr">
        <is>
          <t>26 Feb 2026</t>
        </is>
      </c>
      <c r="R143" s="27" t="inlineStr">
        <is>
          <t>26 Feb 2026</t>
        </is>
      </c>
      <c r="S143" s="28" t="n">
        <v>31.2325</v>
      </c>
      <c r="V143" s="204" t="n"/>
    </row>
    <row r="144">
      <c r="A144" s="29" t="n">
        <v>143</v>
      </c>
      <c r="B144" s="44" t="n">
        <v>46079</v>
      </c>
      <c r="C144" s="17" t="inlineStr">
        <is>
          <t>S 120497</t>
        </is>
      </c>
      <c r="D144" s="18" t="inlineStr">
        <is>
          <t>UMT</t>
        </is>
      </c>
      <c r="E144" s="85" t="inlineStr">
        <is>
          <t>820-0343</t>
        </is>
      </c>
      <c r="F144" s="193" t="n">
        <v>200</v>
      </c>
      <c r="G144" s="205" t="inlineStr">
        <is>
          <t>8402613819</t>
        </is>
      </c>
      <c r="H144" s="196" t="n">
        <v>614</v>
      </c>
      <c r="I144" s="196" t="inlineStr">
        <is>
          <t>USD</t>
        </is>
      </c>
      <c r="J144" s="196" t="n"/>
      <c r="K144" s="197" t="n">
        <v>614</v>
      </c>
      <c r="L144" s="198">
        <f>K144*S144</f>
        <v/>
      </c>
      <c r="M144" s="47" t="inlineStr">
        <is>
          <t>SOLAR</t>
        </is>
      </c>
      <c r="N144" s="199">
        <f>H144-K144</f>
        <v/>
      </c>
      <c r="O144" s="203" t="n"/>
      <c r="P144" s="40" t="inlineStr">
        <is>
          <t>A0271690217012</t>
        </is>
      </c>
      <c r="Q144" s="27" t="inlineStr">
        <is>
          <t>26 Feb 2026</t>
        </is>
      </c>
      <c r="R144" s="27" t="inlineStr">
        <is>
          <t>26 Feb 2026</t>
        </is>
      </c>
      <c r="S144" s="28" t="n">
        <v>31.2325</v>
      </c>
      <c r="V144" s="204" t="n"/>
    </row>
    <row r="145">
      <c r="A145" s="29" t="n">
        <v>144</v>
      </c>
      <c r="B145" s="44" t="n">
        <v>46079</v>
      </c>
      <c r="C145" s="17" t="inlineStr">
        <is>
          <t>S 120498</t>
        </is>
      </c>
      <c r="D145" s="18" t="inlineStr">
        <is>
          <t>UMT</t>
        </is>
      </c>
      <c r="E145" s="85" t="inlineStr">
        <is>
          <t>820-0124</t>
        </is>
      </c>
      <c r="F145" s="193" t="n">
        <v>200</v>
      </c>
      <c r="G145" s="205" t="inlineStr">
        <is>
          <t>8402607417 Cable harness zu SPBGM</t>
        </is>
      </c>
      <c r="H145" s="196" t="n">
        <v>5200</v>
      </c>
      <c r="I145" s="196" t="inlineStr">
        <is>
          <t>USD</t>
        </is>
      </c>
      <c r="J145" s="196" t="n"/>
      <c r="K145" s="197" t="n">
        <v>5200</v>
      </c>
      <c r="L145" s="198">
        <f>K145*S145</f>
        <v/>
      </c>
      <c r="M145" s="47" t="inlineStr">
        <is>
          <t>SOLAR</t>
        </is>
      </c>
      <c r="N145" s="199">
        <f>H145-K145</f>
        <v/>
      </c>
      <c r="O145" s="203" t="n"/>
      <c r="P145" s="40" t="inlineStr">
        <is>
          <t>A0271690217012</t>
        </is>
      </c>
      <c r="Q145" s="27" t="inlineStr">
        <is>
          <t>26 Feb 2026</t>
        </is>
      </c>
      <c r="R145" s="27" t="inlineStr">
        <is>
          <t>26 Feb 2026</t>
        </is>
      </c>
      <c r="S145" s="28" t="n">
        <v>31.2325</v>
      </c>
      <c r="V145" s="204" t="n"/>
    </row>
    <row r="146">
      <c r="A146" s="29" t="n">
        <v>145</v>
      </c>
      <c r="B146" s="44" t="n">
        <v>46079</v>
      </c>
      <c r="C146" s="17" t="inlineStr">
        <is>
          <t>S 120499</t>
        </is>
      </c>
      <c r="D146" s="18" t="inlineStr">
        <is>
          <t>UMT</t>
        </is>
      </c>
      <c r="E146" s="85" t="inlineStr">
        <is>
          <t>825-0707</t>
        </is>
      </c>
      <c r="F146" s="193" t="n">
        <v>1000</v>
      </c>
      <c r="G146" s="205" t="inlineStr">
        <is>
          <t>20004781-00</t>
        </is>
      </c>
      <c r="H146" s="196" t="n">
        <v>5860</v>
      </c>
      <c r="I146" s="196" t="inlineStr">
        <is>
          <t>USD</t>
        </is>
      </c>
      <c r="J146" s="196" t="n"/>
      <c r="K146" s="197" t="n">
        <v>5860</v>
      </c>
      <c r="L146" s="198">
        <f>K146*S146</f>
        <v/>
      </c>
      <c r="M146" s="47" t="inlineStr">
        <is>
          <t>SOLAR</t>
        </is>
      </c>
      <c r="N146" s="199">
        <f>H146-K146</f>
        <v/>
      </c>
      <c r="O146" s="203" t="n"/>
      <c r="P146" s="40" t="inlineStr">
        <is>
          <t>A0271690217012</t>
        </is>
      </c>
      <c r="Q146" s="27" t="inlineStr">
        <is>
          <t>26 Feb 2026</t>
        </is>
      </c>
      <c r="R146" s="27" t="inlineStr">
        <is>
          <t>26 Feb 2026</t>
        </is>
      </c>
      <c r="S146" s="28" t="n">
        <v>31.2325</v>
      </c>
      <c r="V146" s="204" t="n"/>
    </row>
    <row r="147">
      <c r="A147" s="29" t="n">
        <v>146</v>
      </c>
      <c r="B147" s="44" t="n">
        <v>46079</v>
      </c>
      <c r="C147" s="17" t="inlineStr">
        <is>
          <t>S 120500</t>
        </is>
      </c>
      <c r="D147" s="18" t="inlineStr">
        <is>
          <t>UMT</t>
        </is>
      </c>
      <c r="E147" s="85" t="inlineStr">
        <is>
          <t>820-0351</t>
        </is>
      </c>
      <c r="F147" s="193" t="n">
        <v>5000</v>
      </c>
      <c r="G147" s="205" t="inlineStr">
        <is>
          <t>8402614298</t>
        </is>
      </c>
      <c r="H147" s="196" t="n">
        <v>7500</v>
      </c>
      <c r="I147" s="196" t="inlineStr">
        <is>
          <t>USD</t>
        </is>
      </c>
      <c r="J147" s="196" t="n"/>
      <c r="K147" s="197" t="n">
        <v>7500</v>
      </c>
      <c r="L147" s="198">
        <f>K147*S147</f>
        <v/>
      </c>
      <c r="M147" s="47" t="inlineStr">
        <is>
          <t>SOLAR</t>
        </is>
      </c>
      <c r="N147" s="199">
        <f>H147-K147</f>
        <v/>
      </c>
      <c r="O147" s="203" t="n"/>
      <c r="P147" s="40" t="inlineStr">
        <is>
          <t>A0271690217012</t>
        </is>
      </c>
      <c r="Q147" s="27" t="inlineStr">
        <is>
          <t>26 Feb 2026</t>
        </is>
      </c>
      <c r="R147" s="27" t="inlineStr">
        <is>
          <t>26 Feb 2026</t>
        </is>
      </c>
      <c r="S147" s="28" t="n">
        <v>31.2325</v>
      </c>
      <c r="V147" s="204" t="n"/>
    </row>
    <row r="148">
      <c r="A148" s="29" t="n">
        <v>147</v>
      </c>
      <c r="B148" s="44" t="n">
        <v>46079</v>
      </c>
      <c r="C148" s="17" t="inlineStr">
        <is>
          <t>S 120501</t>
        </is>
      </c>
      <c r="D148" s="18" t="inlineStr">
        <is>
          <t>UMT</t>
        </is>
      </c>
      <c r="E148" s="85" t="inlineStr">
        <is>
          <t>820-0351</t>
        </is>
      </c>
      <c r="F148" s="193" t="n">
        <v>5000</v>
      </c>
      <c r="G148" s="205" t="inlineStr">
        <is>
          <t>8402614298</t>
        </is>
      </c>
      <c r="H148" s="196" t="n">
        <v>7500</v>
      </c>
      <c r="I148" s="196" t="inlineStr">
        <is>
          <t>USD</t>
        </is>
      </c>
      <c r="J148" s="196" t="n"/>
      <c r="K148" s="197" t="n">
        <v>7500</v>
      </c>
      <c r="L148" s="198">
        <f>K148*S148</f>
        <v/>
      </c>
      <c r="M148" s="47" t="inlineStr">
        <is>
          <t>SOLAR</t>
        </is>
      </c>
      <c r="N148" s="199">
        <f>H148-K148</f>
        <v/>
      </c>
      <c r="O148" s="203" t="n"/>
      <c r="P148" s="40" t="inlineStr">
        <is>
          <t>A0271690217012</t>
        </is>
      </c>
      <c r="Q148" s="27" t="inlineStr">
        <is>
          <t>26 Feb 2026</t>
        </is>
      </c>
      <c r="R148" s="27" t="inlineStr">
        <is>
          <t>26 Feb 2026</t>
        </is>
      </c>
      <c r="S148" s="28" t="n">
        <v>31.2325</v>
      </c>
      <c r="V148" s="204" t="n"/>
    </row>
    <row r="149">
      <c r="A149" s="29" t="n">
        <v>148</v>
      </c>
      <c r="B149" s="44" t="n">
        <v>46079</v>
      </c>
      <c r="C149" s="17" t="inlineStr">
        <is>
          <t>S 120502</t>
        </is>
      </c>
      <c r="D149" s="18" t="inlineStr">
        <is>
          <t>UMT</t>
        </is>
      </c>
      <c r="E149" s="85" t="inlineStr">
        <is>
          <t>825-0719</t>
        </is>
      </c>
      <c r="F149" s="193" t="n">
        <v>1459</v>
      </c>
      <c r="G149" s="205" t="inlineStr">
        <is>
          <t>20005659-00</t>
        </is>
      </c>
      <c r="H149" s="196" t="n">
        <v>19696.5</v>
      </c>
      <c r="I149" s="196" t="inlineStr">
        <is>
          <t>USD</t>
        </is>
      </c>
      <c r="J149" s="196" t="n"/>
      <c r="K149" s="197" t="n">
        <v>19696.5</v>
      </c>
      <c r="L149" s="198">
        <f>K149*S149</f>
        <v/>
      </c>
      <c r="M149" s="47" t="inlineStr">
        <is>
          <t>SOLAR</t>
        </is>
      </c>
      <c r="N149" s="199">
        <f>H149-K149</f>
        <v/>
      </c>
      <c r="O149" s="203" t="n"/>
      <c r="P149" s="40" t="inlineStr">
        <is>
          <t>A0271690217012</t>
        </is>
      </c>
      <c r="Q149" s="27" t="inlineStr">
        <is>
          <t>26 Feb 2026</t>
        </is>
      </c>
      <c r="R149" s="27" t="inlineStr">
        <is>
          <t>26 Feb 2026</t>
        </is>
      </c>
      <c r="S149" s="28" t="n">
        <v>31.2325</v>
      </c>
      <c r="V149" s="204" t="n"/>
    </row>
    <row r="150">
      <c r="A150" s="29" t="n">
        <v>149</v>
      </c>
      <c r="B150" s="44" t="n">
        <v>46079</v>
      </c>
      <c r="C150" s="17" t="inlineStr">
        <is>
          <t>S 120503</t>
        </is>
      </c>
      <c r="D150" s="18" t="inlineStr">
        <is>
          <t>UMT</t>
        </is>
      </c>
      <c r="E150" s="85" t="inlineStr">
        <is>
          <t>825-0719</t>
        </is>
      </c>
      <c r="F150" s="193" t="n">
        <v>967</v>
      </c>
      <c r="G150" s="205" t="inlineStr">
        <is>
          <t>20005659-00</t>
        </is>
      </c>
      <c r="H150" s="196" t="n">
        <v>13054.5</v>
      </c>
      <c r="I150" s="196" t="inlineStr">
        <is>
          <t>USD</t>
        </is>
      </c>
      <c r="J150" s="196" t="n"/>
      <c r="K150" s="197" t="n">
        <v>13054.5</v>
      </c>
      <c r="L150" s="198">
        <f>K150*S150</f>
        <v/>
      </c>
      <c r="M150" s="47" t="inlineStr">
        <is>
          <t>SOLAR</t>
        </is>
      </c>
      <c r="N150" s="199">
        <f>H150-K150</f>
        <v/>
      </c>
      <c r="O150" s="203" t="n"/>
      <c r="P150" s="40" t="inlineStr">
        <is>
          <t>A0271690217012</t>
        </is>
      </c>
      <c r="Q150" s="27" t="inlineStr">
        <is>
          <t>26 Feb 2026</t>
        </is>
      </c>
      <c r="R150" s="27" t="inlineStr">
        <is>
          <t>26 Feb 2026</t>
        </is>
      </c>
      <c r="S150" s="28" t="n">
        <v>31.2325</v>
      </c>
      <c r="V150" s="204" t="n"/>
    </row>
    <row r="151">
      <c r="A151" s="29" t="n">
        <v>150</v>
      </c>
      <c r="B151" s="44" t="n">
        <v>46079</v>
      </c>
      <c r="C151" s="17" t="inlineStr">
        <is>
          <t>S 120504</t>
        </is>
      </c>
      <c r="D151" s="18" t="inlineStr">
        <is>
          <t>WAGENE2</t>
        </is>
      </c>
      <c r="E151" s="85" t="inlineStr">
        <is>
          <t>A-41010000</t>
        </is>
      </c>
      <c r="F151" s="193" t="n">
        <v>1</v>
      </c>
      <c r="G151" s="205" t="inlineStr">
        <is>
          <t>Shipping Charge Base on 46.00Kgs. REF.S12415-417</t>
        </is>
      </c>
      <c r="H151" s="196" t="n">
        <v>272</v>
      </c>
      <c r="I151" s="196" t="inlineStr">
        <is>
          <t>EUR</t>
        </is>
      </c>
      <c r="J151" s="196" t="n"/>
      <c r="K151" s="197" t="n">
        <v>272</v>
      </c>
      <c r="L151" s="198">
        <f>K151*S151</f>
        <v/>
      </c>
      <c r="M151" s="47" t="inlineStr">
        <is>
          <t>SOLAR</t>
        </is>
      </c>
      <c r="N151" s="199">
        <f>H151-K151</f>
        <v/>
      </c>
      <c r="O151" s="203" t="n"/>
      <c r="P151" s="40" t="n"/>
      <c r="Q151" s="27" t="inlineStr">
        <is>
          <t>25 Feb 2026</t>
        </is>
      </c>
      <c r="R151" s="27" t="inlineStr">
        <is>
          <t>25 Feb 2026</t>
        </is>
      </c>
      <c r="S151" s="28" t="n">
        <v>36.8908</v>
      </c>
      <c r="V151" s="204" t="n"/>
    </row>
    <row r="152">
      <c r="A152" s="29" t="n">
        <v>151</v>
      </c>
      <c r="B152" s="44" t="n">
        <v>46079</v>
      </c>
      <c r="C152" s="17" t="inlineStr">
        <is>
          <t>S 120504</t>
        </is>
      </c>
      <c r="D152" s="18" t="inlineStr">
        <is>
          <t>WAGENE2</t>
        </is>
      </c>
      <c r="E152" s="85" t="inlineStr">
        <is>
          <t>A-41010000</t>
        </is>
      </c>
      <c r="F152" s="193" t="n">
        <v>1</v>
      </c>
      <c r="G152" s="205" t="inlineStr">
        <is>
          <t>Sales - COO fee</t>
        </is>
      </c>
      <c r="H152" s="196" t="n">
        <v>16</v>
      </c>
      <c r="I152" s="196" t="inlineStr">
        <is>
          <t>EUR</t>
        </is>
      </c>
      <c r="J152" s="196" t="n"/>
      <c r="K152" s="197" t="n">
        <v>16</v>
      </c>
      <c r="L152" s="198">
        <f>K152*S152</f>
        <v/>
      </c>
      <c r="M152" s="47" t="inlineStr">
        <is>
          <t>SOLAR</t>
        </is>
      </c>
      <c r="N152" s="199">
        <f>H152-K152</f>
        <v/>
      </c>
      <c r="O152" s="203" t="n"/>
      <c r="P152" s="40" t="n"/>
      <c r="Q152" s="27" t="inlineStr">
        <is>
          <t>25 Feb 2026</t>
        </is>
      </c>
      <c r="R152" s="27" t="inlineStr">
        <is>
          <t>25 Feb 2026</t>
        </is>
      </c>
      <c r="S152" s="28" t="n">
        <v>36.8908</v>
      </c>
      <c r="V152" s="204" t="n"/>
    </row>
    <row r="153">
      <c r="A153" s="29" t="n">
        <v>152</v>
      </c>
      <c r="B153" s="67" t="n">
        <v>46080</v>
      </c>
      <c r="C153" s="68" t="inlineStr">
        <is>
          <t>S 120505</t>
        </is>
      </c>
      <c r="D153" s="69" t="inlineStr">
        <is>
          <t>UMT</t>
        </is>
      </c>
      <c r="E153" s="29" t="inlineStr">
        <is>
          <t>491-0279</t>
        </is>
      </c>
      <c r="F153" s="214" t="n">
        <v>600</v>
      </c>
      <c r="G153" s="220" t="inlineStr">
        <is>
          <t>SMD Spulensensor IC SO-08 CY30-B</t>
        </is>
      </c>
      <c r="H153" s="184" t="n">
        <v>516</v>
      </c>
      <c r="I153" s="184" t="inlineStr">
        <is>
          <t>USD</t>
        </is>
      </c>
      <c r="K153" s="202" t="n"/>
      <c r="L153" s="185">
        <f>K153*S153</f>
        <v/>
      </c>
      <c r="M153" s="73" t="inlineStr">
        <is>
          <t>SOLAR</t>
        </is>
      </c>
      <c r="N153" s="199" t="n"/>
      <c r="O153" s="203" t="n"/>
      <c r="P153" s="40" t="n"/>
      <c r="Q153" s="27" t="n"/>
      <c r="R153" s="27" t="n"/>
      <c r="S153" s="28" t="n"/>
      <c r="V153" s="204" t="n"/>
    </row>
    <row r="154">
      <c r="A154" s="29" t="n">
        <v>153</v>
      </c>
      <c r="B154" s="67" t="n">
        <v>46080</v>
      </c>
      <c r="C154" s="68" t="inlineStr">
        <is>
          <t>S 120506</t>
        </is>
      </c>
      <c r="D154" s="69" t="inlineStr">
        <is>
          <t>UMT</t>
        </is>
      </c>
      <c r="E154" s="29" t="inlineStr">
        <is>
          <t>820-0351</t>
        </is>
      </c>
      <c r="F154" s="214" t="n">
        <v>5000</v>
      </c>
      <c r="G154" s="220" t="inlineStr">
        <is>
          <t>8402614298</t>
        </is>
      </c>
      <c r="H154" s="184" t="n">
        <v>7500</v>
      </c>
      <c r="I154" s="184" t="inlineStr">
        <is>
          <t>USD</t>
        </is>
      </c>
      <c r="K154" s="202" t="n"/>
      <c r="L154" s="185">
        <f>K154*S154</f>
        <v/>
      </c>
      <c r="M154" s="73" t="inlineStr">
        <is>
          <t>SOLAR</t>
        </is>
      </c>
      <c r="N154" s="199" t="n"/>
      <c r="O154" s="203" t="n"/>
      <c r="P154" s="40" t="n"/>
      <c r="R154" s="27" t="n"/>
      <c r="S154" s="28" t="n"/>
      <c r="V154" s="204" t="n"/>
    </row>
    <row r="155">
      <c r="A155" s="93" t="n">
        <v>154</v>
      </c>
      <c r="B155" s="44" t="n">
        <v>46080</v>
      </c>
      <c r="C155" s="17" t="inlineStr">
        <is>
          <t>S 120507</t>
        </is>
      </c>
      <c r="D155" s="18" t="inlineStr">
        <is>
          <t>FARPOINTE3</t>
        </is>
      </c>
      <c r="E155" s="85" t="inlineStr">
        <is>
          <t>A-41010000</t>
        </is>
      </c>
      <c r="F155" s="193" t="n">
        <v>1</v>
      </c>
      <c r="G155" s="205" t="inlineStr">
        <is>
          <t>Shipping Charge Base on 892.00Kgs. REF.S120456-471</t>
        </is>
      </c>
      <c r="H155" s="196" t="n">
        <v>7689.8</v>
      </c>
      <c r="I155" s="196" t="inlineStr">
        <is>
          <t>USD</t>
        </is>
      </c>
      <c r="J155" s="196" t="n"/>
      <c r="K155" s="197" t="n">
        <v>7689.8</v>
      </c>
      <c r="L155" s="198">
        <f>K155*S155</f>
        <v/>
      </c>
      <c r="M155" s="47" t="inlineStr">
        <is>
          <t>SOLAR</t>
        </is>
      </c>
      <c r="N155" s="199" t="n"/>
      <c r="O155" s="203" t="n"/>
      <c r="P155" s="40" t="n"/>
      <c r="Q155" s="27" t="inlineStr">
        <is>
          <t>26 Feb 2026</t>
        </is>
      </c>
      <c r="R155" s="27" t="inlineStr">
        <is>
          <t>26 Feb 2026</t>
        </is>
      </c>
      <c r="S155" s="28" t="n">
        <v>31.2325</v>
      </c>
      <c r="V155" s="204" t="n"/>
    </row>
    <row r="156" ht="21.75" customHeight="1" s="225" thickBot="1">
      <c r="B156" s="95" t="n"/>
      <c r="H156" s="226" t="n"/>
      <c r="I156" s="226" t="n"/>
      <c r="J156" s="226">
        <f>SUM(J3:J108)</f>
        <v/>
      </c>
      <c r="K156" s="226" t="n"/>
      <c r="L156" s="227">
        <f>SUM(L3:L108)</f>
        <v/>
      </c>
      <c r="M156" s="101" t="n"/>
      <c r="N156" s="228">
        <f>SUM(N3:N108)</f>
        <v/>
      </c>
      <c r="O156" s="228">
        <f>SUM(O15:O74)</f>
        <v/>
      </c>
      <c r="P156" s="103" t="n"/>
      <c r="Q156" s="27" t="n"/>
      <c r="R156" s="181" t="n"/>
      <c r="S156" s="94" t="n"/>
    </row>
    <row r="157" ht="21" customFormat="1" customHeight="1" s="94" thickTop="1">
      <c r="B157" s="104" t="n"/>
      <c r="C157" s="96" t="n"/>
      <c r="D157" s="43" t="n"/>
      <c r="F157" s="182" t="n"/>
      <c r="G157" s="183" t="n"/>
      <c r="H157" s="184" t="n"/>
      <c r="I157" s="184" t="n"/>
      <c r="J157" s="199" t="n"/>
      <c r="K157" s="229" t="n"/>
      <c r="L157" s="230" t="n">
        <v>27711598.52</v>
      </c>
      <c r="M157" s="107" t="inlineStr">
        <is>
          <t>Express</t>
        </is>
      </c>
      <c r="N157" s="186" t="n"/>
      <c r="O157" s="43" t="n"/>
      <c r="P157" s="103" t="n"/>
      <c r="Q157" s="27" t="n"/>
      <c r="R157" s="181" t="n"/>
      <c r="U157" s="182" t="n"/>
    </row>
    <row r="158" customFormat="1" s="94">
      <c r="A158" s="108" t="n"/>
      <c r="B158" s="104" t="n"/>
      <c r="C158" s="96" t="n"/>
      <c r="D158" s="43" t="n"/>
      <c r="F158" s="182" t="n"/>
      <c r="G158" s="183" t="n"/>
      <c r="H158" s="184" t="n"/>
      <c r="I158" s="184" t="n"/>
      <c r="J158" s="184" t="n"/>
      <c r="K158" s="231" t="n"/>
      <c r="L158" s="232">
        <f>L156-L157</f>
        <v/>
      </c>
      <c r="M158" s="111" t="inlineStr">
        <is>
          <t>Diff</t>
        </is>
      </c>
      <c r="N158" s="186" t="n"/>
      <c r="O158" s="43" t="n"/>
      <c r="P158" s="112" t="n"/>
      <c r="Q158" s="27" t="n"/>
      <c r="R158" s="181" t="n"/>
      <c r="U158" s="182" t="n"/>
    </row>
    <row r="159" customFormat="1" s="94">
      <c r="A159" s="108" t="n"/>
      <c r="B159" s="104" t="n"/>
      <c r="C159" s="96" t="n"/>
      <c r="D159" s="43" t="n"/>
      <c r="F159" s="182" t="n"/>
      <c r="G159" s="183" t="n"/>
      <c r="H159" s="184" t="n"/>
      <c r="I159" s="184" t="n"/>
      <c r="J159" s="184" t="n"/>
      <c r="K159" s="184" t="n"/>
      <c r="L159" s="185" t="n"/>
      <c r="M159" s="96" t="n"/>
      <c r="N159" s="186" t="n"/>
      <c r="O159" s="43" t="n"/>
      <c r="P159" s="112" t="n"/>
      <c r="Q159" s="27" t="n"/>
      <c r="R159" s="181" t="n"/>
      <c r="U159" s="182" t="n"/>
    </row>
    <row r="160" customFormat="1" s="94">
      <c r="A160" s="108" t="n"/>
      <c r="B160" s="104" t="n"/>
      <c r="C160" s="96" t="n"/>
      <c r="D160" s="43" t="n"/>
      <c r="F160" s="182" t="n"/>
      <c r="G160" s="183" t="n"/>
      <c r="H160" s="184" t="inlineStr">
        <is>
          <t>รวมมูลค่า ขายสินค้าและบริการ</t>
        </is>
      </c>
      <c r="I160" s="184" t="n"/>
      <c r="J160" s="184" t="n"/>
      <c r="K160" s="184" t="n"/>
      <c r="L160" s="185">
        <f>L156</f>
        <v/>
      </c>
      <c r="M160" s="96" t="n"/>
      <c r="N160" s="186" t="n"/>
      <c r="O160" s="43" t="n"/>
      <c r="P160" s="112" t="n"/>
      <c r="Q160" s="27" t="n"/>
      <c r="R160" s="181" t="n"/>
      <c r="U160" s="182" t="n"/>
    </row>
    <row r="161" customFormat="1" s="94">
      <c r="B161" s="104" t="n"/>
      <c r="C161" s="96" t="n"/>
      <c r="D161" s="43" t="n"/>
      <c r="F161" s="182" t="n"/>
      <c r="G161" s="183" t="n"/>
      <c r="H161" s="184" t="inlineStr">
        <is>
          <t>มูลค่าสินค้าหรือบริการเสียภาษี 0%</t>
        </is>
      </c>
      <c r="I161" s="184" t="n"/>
      <c r="J161" s="184" t="n"/>
      <c r="K161" s="184" t="n"/>
      <c r="L161" s="185">
        <f>L160-L162</f>
        <v/>
      </c>
      <c r="M161" s="96" t="n"/>
      <c r="N161" s="186" t="n"/>
      <c r="O161" s="43" t="n"/>
      <c r="P161" s="112" t="n"/>
      <c r="Q161" s="27" t="n"/>
      <c r="R161" s="181" t="n"/>
      <c r="U161" s="182" t="n"/>
    </row>
    <row r="162" customFormat="1" s="94">
      <c r="B162" s="104" t="n"/>
      <c r="C162" s="96" t="n"/>
      <c r="D162" s="43" t="n"/>
      <c r="F162" s="182" t="n"/>
      <c r="G162" s="183" t="n"/>
      <c r="H162" s="184" t="inlineStr">
        <is>
          <t>มูลค่าสินค้าหรือบริการเสียภาษี 7%</t>
        </is>
      </c>
      <c r="I162" s="184" t="n"/>
      <c r="J162" s="199" t="n"/>
      <c r="K162" s="199" t="n"/>
      <c r="L162" s="185">
        <f>L83+L50+L51+L31+#REF!+L32+L5+L4</f>
        <v/>
      </c>
      <c r="M162" s="96" t="n"/>
      <c r="N162" s="186" t="n"/>
      <c r="O162" s="43" t="n"/>
      <c r="P162" s="112" t="n"/>
      <c r="Q162" s="27" t="n"/>
      <c r="R162" s="181" t="n"/>
      <c r="U162" s="182" t="n"/>
    </row>
    <row r="163" customFormat="1" s="94">
      <c r="B163" s="104" t="n"/>
      <c r="C163" s="96" t="n"/>
      <c r="D163" s="43" t="n"/>
      <c r="F163" s="182" t="n"/>
      <c r="G163" s="183" t="n"/>
      <c r="H163" s="184" t="inlineStr">
        <is>
          <t>ภาษีมูลค่าเพิ่ม (Vat7%)</t>
        </is>
      </c>
      <c r="I163" s="184" t="n"/>
      <c r="J163" s="184" t="n"/>
      <c r="K163" s="184" t="n"/>
      <c r="L163" s="185">
        <f>L162*7/100</f>
        <v/>
      </c>
      <c r="M163" s="96" t="n"/>
      <c r="N163" s="186" t="n"/>
      <c r="O163" s="43" t="n"/>
      <c r="Q163" s="43" t="n"/>
      <c r="R163" s="43" t="n"/>
      <c r="U163" s="182" t="n"/>
    </row>
    <row r="164" ht="23.25" customFormat="1" customHeight="1" s="94">
      <c r="B164" s="104" t="n"/>
      <c r="C164" s="96" t="n"/>
      <c r="D164" s="43" t="n"/>
      <c r="F164" s="182" t="n"/>
      <c r="G164" s="183" t="n"/>
      <c r="H164" s="184" t="inlineStr">
        <is>
          <t>มูลค่าสินค้าหรือบริการเสียภาษี 7% ( Vat ซื้อ)</t>
        </is>
      </c>
      <c r="I164" s="184" t="n"/>
      <c r="J164" s="184" t="n"/>
      <c r="K164" s="233" t="n"/>
      <c r="L164" s="185" t="n">
        <v>2604819.94</v>
      </c>
      <c r="M164" s="96" t="n"/>
      <c r="N164" s="186" t="n"/>
      <c r="O164" s="115" t="n"/>
      <c r="Q164" s="43" t="n"/>
      <c r="R164" s="43" t="n"/>
      <c r="S164" s="43" t="n"/>
      <c r="U164" s="182" t="n"/>
    </row>
    <row r="165">
      <c r="H165" s="184" t="inlineStr">
        <is>
          <t>( Vat ซื้อ)</t>
        </is>
      </c>
      <c r="L165" s="185" t="n">
        <v>182337.4</v>
      </c>
      <c r="O165" s="115" t="n"/>
    </row>
    <row r="166">
      <c r="H166" s="184" t="inlineStr">
        <is>
          <t>ผลต่าง ซื้อ - ขาย ( Vat Refund )</t>
        </is>
      </c>
      <c r="L166" s="234">
        <f>L165-L163</f>
        <v/>
      </c>
      <c r="O166" s="115" t="n"/>
    </row>
    <row r="167">
      <c r="O167" s="115" t="n"/>
      <c r="Q167" s="94" t="n"/>
      <c r="R167" s="94" t="n"/>
    </row>
    <row r="168">
      <c r="O168" s="115" t="n"/>
      <c r="Q168" s="94" t="n"/>
      <c r="R168" s="94" t="n"/>
    </row>
    <row r="169">
      <c r="O169" s="115" t="n"/>
      <c r="Q169" s="94" t="n"/>
      <c r="R169" s="94" t="n"/>
    </row>
    <row r="170">
      <c r="O170" s="115" t="n"/>
      <c r="Q170" s="94" t="n"/>
      <c r="R170" s="94" t="n"/>
    </row>
    <row r="171">
      <c r="O171" s="117" t="n"/>
      <c r="Q171" s="94" t="n"/>
      <c r="R171" s="94" t="n"/>
    </row>
    <row r="172">
      <c r="O172" s="186" t="n"/>
      <c r="Q172" s="94" t="n"/>
      <c r="R172" s="94" t="n"/>
    </row>
    <row r="173">
      <c r="Q173" s="94" t="n"/>
      <c r="R173" s="94" t="n"/>
    </row>
    <row r="174">
      <c r="Q174" s="94" t="n"/>
      <c r="R174" s="94" t="n"/>
    </row>
  </sheetData>
  <autoFilter ref="A1:T158"/>
  <pageMargins left="0.7" right="0.7" top="0.75" bottom="0.75" header="0.3" footer="0.3"/>
  <pageSetup orientation="landscape" paperSize="9" scale="46" fitToHeight="0"/>
</worksheet>
</file>

<file path=xl/worksheets/sheet2.xml><?xml version="1.0" encoding="utf-8"?>
<worksheet xmlns="http://schemas.openxmlformats.org/spreadsheetml/2006/main">
  <sheetPr>
    <tabColor theme="1"/>
    <outlinePr summaryBelow="1" summaryRight="1"/>
    <pageSetUpPr/>
  </sheetPr>
  <dimension ref="A1:D297"/>
  <sheetViews>
    <sheetView tabSelected="1" topLeftCell="A21" zoomScaleNormal="100" workbookViewId="0">
      <selection activeCell="D12" sqref="D12"/>
    </sheetView>
  </sheetViews>
  <sheetFormatPr baseColWidth="8" defaultRowHeight="19.5"/>
  <cols>
    <col width="15.28515625" bestFit="1" customWidth="1" style="119" min="1" max="1"/>
    <col width="22.85546875" bestFit="1" customWidth="1" style="119" min="2" max="4"/>
    <col width="9.140625" customWidth="1" style="119" min="5" max="5"/>
    <col width="11.28515625" bestFit="1" customWidth="1" style="119" min="6" max="6"/>
    <col width="9.140625" customWidth="1" style="119" min="7" max="10"/>
    <col width="11" bestFit="1" customWidth="1" style="119" min="11" max="11"/>
    <col width="9.140625" customWidth="1" style="119" min="12" max="256"/>
    <col width="15.28515625" bestFit="1" customWidth="1" style="119" min="257" max="257"/>
    <col width="22.85546875" bestFit="1" customWidth="1" style="119" min="258" max="260"/>
    <col width="9.140625" customWidth="1" style="119" min="261" max="261"/>
    <col width="11.28515625" bestFit="1" customWidth="1" style="119" min="262" max="262"/>
    <col width="9.140625" customWidth="1" style="119" min="263" max="266"/>
    <col width="11" bestFit="1" customWidth="1" style="119" min="267" max="267"/>
    <col width="9.140625" customWidth="1" style="119" min="268" max="512"/>
    <col width="15.28515625" bestFit="1" customWidth="1" style="119" min="513" max="513"/>
    <col width="22.85546875" bestFit="1" customWidth="1" style="119" min="514" max="516"/>
    <col width="9.140625" customWidth="1" style="119" min="517" max="517"/>
    <col width="11.28515625" bestFit="1" customWidth="1" style="119" min="518" max="518"/>
    <col width="9.140625" customWidth="1" style="119" min="519" max="522"/>
    <col width="11" bestFit="1" customWidth="1" style="119" min="523" max="523"/>
    <col width="9.140625" customWidth="1" style="119" min="524" max="768"/>
    <col width="15.28515625" bestFit="1" customWidth="1" style="119" min="769" max="769"/>
    <col width="22.85546875" bestFit="1" customWidth="1" style="119" min="770" max="772"/>
    <col width="9.140625" customWidth="1" style="119" min="773" max="773"/>
    <col width="11.28515625" bestFit="1" customWidth="1" style="119" min="774" max="774"/>
    <col width="9.140625" customWidth="1" style="119" min="775" max="778"/>
    <col width="11" bestFit="1" customWidth="1" style="119" min="779" max="779"/>
    <col width="9.140625" customWidth="1" style="119" min="780" max="1024"/>
    <col width="15.28515625" bestFit="1" customWidth="1" style="119" min="1025" max="1025"/>
    <col width="22.85546875" bestFit="1" customWidth="1" style="119" min="1026" max="1028"/>
    <col width="9.140625" customWidth="1" style="119" min="1029" max="1029"/>
    <col width="11.28515625" bestFit="1" customWidth="1" style="119" min="1030" max="1030"/>
    <col width="9.140625" customWidth="1" style="119" min="1031" max="1034"/>
    <col width="11" bestFit="1" customWidth="1" style="119" min="1035" max="1035"/>
    <col width="9.140625" customWidth="1" style="119" min="1036" max="1280"/>
    <col width="15.28515625" bestFit="1" customWidth="1" style="119" min="1281" max="1281"/>
    <col width="22.85546875" bestFit="1" customWidth="1" style="119" min="1282" max="1284"/>
    <col width="9.140625" customWidth="1" style="119" min="1285" max="1285"/>
    <col width="11.28515625" bestFit="1" customWidth="1" style="119" min="1286" max="1286"/>
    <col width="9.140625" customWidth="1" style="119" min="1287" max="1290"/>
    <col width="11" bestFit="1" customWidth="1" style="119" min="1291" max="1291"/>
    <col width="9.140625" customWidth="1" style="119" min="1292" max="1536"/>
    <col width="15.28515625" bestFit="1" customWidth="1" style="119" min="1537" max="1537"/>
    <col width="22.85546875" bestFit="1" customWidth="1" style="119" min="1538" max="1540"/>
    <col width="9.140625" customWidth="1" style="119" min="1541" max="1541"/>
    <col width="11.28515625" bestFit="1" customWidth="1" style="119" min="1542" max="1542"/>
    <col width="9.140625" customWidth="1" style="119" min="1543" max="1546"/>
    <col width="11" bestFit="1" customWidth="1" style="119" min="1547" max="1547"/>
    <col width="9.140625" customWidth="1" style="119" min="1548" max="1792"/>
    <col width="15.28515625" bestFit="1" customWidth="1" style="119" min="1793" max="1793"/>
    <col width="22.85546875" bestFit="1" customWidth="1" style="119" min="1794" max="1796"/>
    <col width="9.140625" customWidth="1" style="119" min="1797" max="1797"/>
    <col width="11.28515625" bestFit="1" customWidth="1" style="119" min="1798" max="1798"/>
    <col width="9.140625" customWidth="1" style="119" min="1799" max="1802"/>
    <col width="11" bestFit="1" customWidth="1" style="119" min="1803" max="1803"/>
    <col width="9.140625" customWidth="1" style="119" min="1804" max="2048"/>
    <col width="15.28515625" bestFit="1" customWidth="1" style="119" min="2049" max="2049"/>
    <col width="22.85546875" bestFit="1" customWidth="1" style="119" min="2050" max="2052"/>
    <col width="9.140625" customWidth="1" style="119" min="2053" max="2053"/>
    <col width="11.28515625" bestFit="1" customWidth="1" style="119" min="2054" max="2054"/>
    <col width="9.140625" customWidth="1" style="119" min="2055" max="2058"/>
    <col width="11" bestFit="1" customWidth="1" style="119" min="2059" max="2059"/>
    <col width="9.140625" customWidth="1" style="119" min="2060" max="2304"/>
    <col width="15.28515625" bestFit="1" customWidth="1" style="119" min="2305" max="2305"/>
    <col width="22.85546875" bestFit="1" customWidth="1" style="119" min="2306" max="2308"/>
    <col width="9.140625" customWidth="1" style="119" min="2309" max="2309"/>
    <col width="11.28515625" bestFit="1" customWidth="1" style="119" min="2310" max="2310"/>
    <col width="9.140625" customWidth="1" style="119" min="2311" max="2314"/>
    <col width="11" bestFit="1" customWidth="1" style="119" min="2315" max="2315"/>
    <col width="9.140625" customWidth="1" style="119" min="2316" max="2560"/>
    <col width="15.28515625" bestFit="1" customWidth="1" style="119" min="2561" max="2561"/>
    <col width="22.85546875" bestFit="1" customWidth="1" style="119" min="2562" max="2564"/>
    <col width="9.140625" customWidth="1" style="119" min="2565" max="2565"/>
    <col width="11.28515625" bestFit="1" customWidth="1" style="119" min="2566" max="2566"/>
    <col width="9.140625" customWidth="1" style="119" min="2567" max="2570"/>
    <col width="11" bestFit="1" customWidth="1" style="119" min="2571" max="2571"/>
    <col width="9.140625" customWidth="1" style="119" min="2572" max="2816"/>
    <col width="15.28515625" bestFit="1" customWidth="1" style="119" min="2817" max="2817"/>
    <col width="22.85546875" bestFit="1" customWidth="1" style="119" min="2818" max="2820"/>
    <col width="9.140625" customWidth="1" style="119" min="2821" max="2821"/>
    <col width="11.28515625" bestFit="1" customWidth="1" style="119" min="2822" max="2822"/>
    <col width="9.140625" customWidth="1" style="119" min="2823" max="2826"/>
    <col width="11" bestFit="1" customWidth="1" style="119" min="2827" max="2827"/>
    <col width="9.140625" customWidth="1" style="119" min="2828" max="3072"/>
    <col width="15.28515625" bestFit="1" customWidth="1" style="119" min="3073" max="3073"/>
    <col width="22.85546875" bestFit="1" customWidth="1" style="119" min="3074" max="3076"/>
    <col width="9.140625" customWidth="1" style="119" min="3077" max="3077"/>
    <col width="11.28515625" bestFit="1" customWidth="1" style="119" min="3078" max="3078"/>
    <col width="9.140625" customWidth="1" style="119" min="3079" max="3082"/>
    <col width="11" bestFit="1" customWidth="1" style="119" min="3083" max="3083"/>
    <col width="9.140625" customWidth="1" style="119" min="3084" max="3328"/>
    <col width="15.28515625" bestFit="1" customWidth="1" style="119" min="3329" max="3329"/>
    <col width="22.85546875" bestFit="1" customWidth="1" style="119" min="3330" max="3332"/>
    <col width="9.140625" customWidth="1" style="119" min="3333" max="3333"/>
    <col width="11.28515625" bestFit="1" customWidth="1" style="119" min="3334" max="3334"/>
    <col width="9.140625" customWidth="1" style="119" min="3335" max="3338"/>
    <col width="11" bestFit="1" customWidth="1" style="119" min="3339" max="3339"/>
    <col width="9.140625" customWidth="1" style="119" min="3340" max="3584"/>
    <col width="15.28515625" bestFit="1" customWidth="1" style="119" min="3585" max="3585"/>
    <col width="22.85546875" bestFit="1" customWidth="1" style="119" min="3586" max="3588"/>
    <col width="9.140625" customWidth="1" style="119" min="3589" max="3589"/>
    <col width="11.28515625" bestFit="1" customWidth="1" style="119" min="3590" max="3590"/>
    <col width="9.140625" customWidth="1" style="119" min="3591" max="3594"/>
    <col width="11" bestFit="1" customWidth="1" style="119" min="3595" max="3595"/>
    <col width="9.140625" customWidth="1" style="119" min="3596" max="3840"/>
    <col width="15.28515625" bestFit="1" customWidth="1" style="119" min="3841" max="3841"/>
    <col width="22.85546875" bestFit="1" customWidth="1" style="119" min="3842" max="3844"/>
    <col width="9.140625" customWidth="1" style="119" min="3845" max="3845"/>
    <col width="11.28515625" bestFit="1" customWidth="1" style="119" min="3846" max="3846"/>
    <col width="9.140625" customWidth="1" style="119" min="3847" max="3850"/>
    <col width="11" bestFit="1" customWidth="1" style="119" min="3851" max="3851"/>
    <col width="9.140625" customWidth="1" style="119" min="3852" max="4096"/>
    <col width="15.28515625" bestFit="1" customWidth="1" style="119" min="4097" max="4097"/>
    <col width="22.85546875" bestFit="1" customWidth="1" style="119" min="4098" max="4100"/>
    <col width="9.140625" customWidth="1" style="119" min="4101" max="4101"/>
    <col width="11.28515625" bestFit="1" customWidth="1" style="119" min="4102" max="4102"/>
    <col width="9.140625" customWidth="1" style="119" min="4103" max="4106"/>
    <col width="11" bestFit="1" customWidth="1" style="119" min="4107" max="4107"/>
    <col width="9.140625" customWidth="1" style="119" min="4108" max="4352"/>
    <col width="15.28515625" bestFit="1" customWidth="1" style="119" min="4353" max="4353"/>
    <col width="22.85546875" bestFit="1" customWidth="1" style="119" min="4354" max="4356"/>
    <col width="9.140625" customWidth="1" style="119" min="4357" max="4357"/>
    <col width="11.28515625" bestFit="1" customWidth="1" style="119" min="4358" max="4358"/>
    <col width="9.140625" customWidth="1" style="119" min="4359" max="4362"/>
    <col width="11" bestFit="1" customWidth="1" style="119" min="4363" max="4363"/>
    <col width="9.140625" customWidth="1" style="119" min="4364" max="4608"/>
    <col width="15.28515625" bestFit="1" customWidth="1" style="119" min="4609" max="4609"/>
    <col width="22.85546875" bestFit="1" customWidth="1" style="119" min="4610" max="4612"/>
    <col width="9.140625" customWidth="1" style="119" min="4613" max="4613"/>
    <col width="11.28515625" bestFit="1" customWidth="1" style="119" min="4614" max="4614"/>
    <col width="9.140625" customWidth="1" style="119" min="4615" max="4618"/>
    <col width="11" bestFit="1" customWidth="1" style="119" min="4619" max="4619"/>
    <col width="9.140625" customWidth="1" style="119" min="4620" max="4864"/>
    <col width="15.28515625" bestFit="1" customWidth="1" style="119" min="4865" max="4865"/>
    <col width="22.85546875" bestFit="1" customWidth="1" style="119" min="4866" max="4868"/>
    <col width="9.140625" customWidth="1" style="119" min="4869" max="4869"/>
    <col width="11.28515625" bestFit="1" customWidth="1" style="119" min="4870" max="4870"/>
    <col width="9.140625" customWidth="1" style="119" min="4871" max="4874"/>
    <col width="11" bestFit="1" customWidth="1" style="119" min="4875" max="4875"/>
    <col width="9.140625" customWidth="1" style="119" min="4876" max="5120"/>
    <col width="15.28515625" bestFit="1" customWidth="1" style="119" min="5121" max="5121"/>
    <col width="22.85546875" bestFit="1" customWidth="1" style="119" min="5122" max="5124"/>
    <col width="9.140625" customWidth="1" style="119" min="5125" max="5125"/>
    <col width="11.28515625" bestFit="1" customWidth="1" style="119" min="5126" max="5126"/>
    <col width="9.140625" customWidth="1" style="119" min="5127" max="5130"/>
    <col width="11" bestFit="1" customWidth="1" style="119" min="5131" max="5131"/>
    <col width="9.140625" customWidth="1" style="119" min="5132" max="5376"/>
    <col width="15.28515625" bestFit="1" customWidth="1" style="119" min="5377" max="5377"/>
    <col width="22.85546875" bestFit="1" customWidth="1" style="119" min="5378" max="5380"/>
    <col width="9.140625" customWidth="1" style="119" min="5381" max="5381"/>
    <col width="11.28515625" bestFit="1" customWidth="1" style="119" min="5382" max="5382"/>
    <col width="9.140625" customWidth="1" style="119" min="5383" max="5386"/>
    <col width="11" bestFit="1" customWidth="1" style="119" min="5387" max="5387"/>
    <col width="9.140625" customWidth="1" style="119" min="5388" max="5632"/>
    <col width="15.28515625" bestFit="1" customWidth="1" style="119" min="5633" max="5633"/>
    <col width="22.85546875" bestFit="1" customWidth="1" style="119" min="5634" max="5636"/>
    <col width="9.140625" customWidth="1" style="119" min="5637" max="5637"/>
    <col width="11.28515625" bestFit="1" customWidth="1" style="119" min="5638" max="5638"/>
    <col width="9.140625" customWidth="1" style="119" min="5639" max="5642"/>
    <col width="11" bestFit="1" customWidth="1" style="119" min="5643" max="5643"/>
    <col width="9.140625" customWidth="1" style="119" min="5644" max="5888"/>
    <col width="15.28515625" bestFit="1" customWidth="1" style="119" min="5889" max="5889"/>
    <col width="22.85546875" bestFit="1" customWidth="1" style="119" min="5890" max="5892"/>
    <col width="9.140625" customWidth="1" style="119" min="5893" max="5893"/>
    <col width="11.28515625" bestFit="1" customWidth="1" style="119" min="5894" max="5894"/>
    <col width="9.140625" customWidth="1" style="119" min="5895" max="5898"/>
    <col width="11" bestFit="1" customWidth="1" style="119" min="5899" max="5899"/>
    <col width="9.140625" customWidth="1" style="119" min="5900" max="6144"/>
    <col width="15.28515625" bestFit="1" customWidth="1" style="119" min="6145" max="6145"/>
    <col width="22.85546875" bestFit="1" customWidth="1" style="119" min="6146" max="6148"/>
    <col width="9.140625" customWidth="1" style="119" min="6149" max="6149"/>
    <col width="11.28515625" bestFit="1" customWidth="1" style="119" min="6150" max="6150"/>
    <col width="9.140625" customWidth="1" style="119" min="6151" max="6154"/>
    <col width="11" bestFit="1" customWidth="1" style="119" min="6155" max="6155"/>
    <col width="9.140625" customWidth="1" style="119" min="6156" max="6400"/>
    <col width="15.28515625" bestFit="1" customWidth="1" style="119" min="6401" max="6401"/>
    <col width="22.85546875" bestFit="1" customWidth="1" style="119" min="6402" max="6404"/>
    <col width="9.140625" customWidth="1" style="119" min="6405" max="6405"/>
    <col width="11.28515625" bestFit="1" customWidth="1" style="119" min="6406" max="6406"/>
    <col width="9.140625" customWidth="1" style="119" min="6407" max="6410"/>
    <col width="11" bestFit="1" customWidth="1" style="119" min="6411" max="6411"/>
    <col width="9.140625" customWidth="1" style="119" min="6412" max="6656"/>
    <col width="15.28515625" bestFit="1" customWidth="1" style="119" min="6657" max="6657"/>
    <col width="22.85546875" bestFit="1" customWidth="1" style="119" min="6658" max="6660"/>
    <col width="9.140625" customWidth="1" style="119" min="6661" max="6661"/>
    <col width="11.28515625" bestFit="1" customWidth="1" style="119" min="6662" max="6662"/>
    <col width="9.140625" customWidth="1" style="119" min="6663" max="6666"/>
    <col width="11" bestFit="1" customWidth="1" style="119" min="6667" max="6667"/>
    <col width="9.140625" customWidth="1" style="119" min="6668" max="6912"/>
    <col width="15.28515625" bestFit="1" customWidth="1" style="119" min="6913" max="6913"/>
    <col width="22.85546875" bestFit="1" customWidth="1" style="119" min="6914" max="6916"/>
    <col width="9.140625" customWidth="1" style="119" min="6917" max="6917"/>
    <col width="11.28515625" bestFit="1" customWidth="1" style="119" min="6918" max="6918"/>
    <col width="9.140625" customWidth="1" style="119" min="6919" max="6922"/>
    <col width="11" bestFit="1" customWidth="1" style="119" min="6923" max="6923"/>
    <col width="9.140625" customWidth="1" style="119" min="6924" max="7168"/>
    <col width="15.28515625" bestFit="1" customWidth="1" style="119" min="7169" max="7169"/>
    <col width="22.85546875" bestFit="1" customWidth="1" style="119" min="7170" max="7172"/>
    <col width="9.140625" customWidth="1" style="119" min="7173" max="7173"/>
    <col width="11.28515625" bestFit="1" customWidth="1" style="119" min="7174" max="7174"/>
    <col width="9.140625" customWidth="1" style="119" min="7175" max="7178"/>
    <col width="11" bestFit="1" customWidth="1" style="119" min="7179" max="7179"/>
    <col width="9.140625" customWidth="1" style="119" min="7180" max="7424"/>
    <col width="15.28515625" bestFit="1" customWidth="1" style="119" min="7425" max="7425"/>
    <col width="22.85546875" bestFit="1" customWidth="1" style="119" min="7426" max="7428"/>
    <col width="9.140625" customWidth="1" style="119" min="7429" max="7429"/>
    <col width="11.28515625" bestFit="1" customWidth="1" style="119" min="7430" max="7430"/>
    <col width="9.140625" customWidth="1" style="119" min="7431" max="7434"/>
    <col width="11" bestFit="1" customWidth="1" style="119" min="7435" max="7435"/>
    <col width="9.140625" customWidth="1" style="119" min="7436" max="7680"/>
    <col width="15.28515625" bestFit="1" customWidth="1" style="119" min="7681" max="7681"/>
    <col width="22.85546875" bestFit="1" customWidth="1" style="119" min="7682" max="7684"/>
    <col width="9.140625" customWidth="1" style="119" min="7685" max="7685"/>
    <col width="11.28515625" bestFit="1" customWidth="1" style="119" min="7686" max="7686"/>
    <col width="9.140625" customWidth="1" style="119" min="7687" max="7690"/>
    <col width="11" bestFit="1" customWidth="1" style="119" min="7691" max="7691"/>
    <col width="9.140625" customWidth="1" style="119" min="7692" max="7936"/>
    <col width="15.28515625" bestFit="1" customWidth="1" style="119" min="7937" max="7937"/>
    <col width="22.85546875" bestFit="1" customWidth="1" style="119" min="7938" max="7940"/>
    <col width="9.140625" customWidth="1" style="119" min="7941" max="7941"/>
    <col width="11.28515625" bestFit="1" customWidth="1" style="119" min="7942" max="7942"/>
    <col width="9.140625" customWidth="1" style="119" min="7943" max="7946"/>
    <col width="11" bestFit="1" customWidth="1" style="119" min="7947" max="7947"/>
    <col width="9.140625" customWidth="1" style="119" min="7948" max="8192"/>
    <col width="15.28515625" bestFit="1" customWidth="1" style="119" min="8193" max="8193"/>
    <col width="22.85546875" bestFit="1" customWidth="1" style="119" min="8194" max="8196"/>
    <col width="9.140625" customWidth="1" style="119" min="8197" max="8197"/>
    <col width="11.28515625" bestFit="1" customWidth="1" style="119" min="8198" max="8198"/>
    <col width="9.140625" customWidth="1" style="119" min="8199" max="8202"/>
    <col width="11" bestFit="1" customWidth="1" style="119" min="8203" max="8203"/>
    <col width="9.140625" customWidth="1" style="119" min="8204" max="8448"/>
    <col width="15.28515625" bestFit="1" customWidth="1" style="119" min="8449" max="8449"/>
    <col width="22.85546875" bestFit="1" customWidth="1" style="119" min="8450" max="8452"/>
    <col width="9.140625" customWidth="1" style="119" min="8453" max="8453"/>
    <col width="11.28515625" bestFit="1" customWidth="1" style="119" min="8454" max="8454"/>
    <col width="9.140625" customWidth="1" style="119" min="8455" max="8458"/>
    <col width="11" bestFit="1" customWidth="1" style="119" min="8459" max="8459"/>
    <col width="9.140625" customWidth="1" style="119" min="8460" max="8704"/>
    <col width="15.28515625" bestFit="1" customWidth="1" style="119" min="8705" max="8705"/>
    <col width="22.85546875" bestFit="1" customWidth="1" style="119" min="8706" max="8708"/>
    <col width="9.140625" customWidth="1" style="119" min="8709" max="8709"/>
    <col width="11.28515625" bestFit="1" customWidth="1" style="119" min="8710" max="8710"/>
    <col width="9.140625" customWidth="1" style="119" min="8711" max="8714"/>
    <col width="11" bestFit="1" customWidth="1" style="119" min="8715" max="8715"/>
    <col width="9.140625" customWidth="1" style="119" min="8716" max="8960"/>
    <col width="15.28515625" bestFit="1" customWidth="1" style="119" min="8961" max="8961"/>
    <col width="22.85546875" bestFit="1" customWidth="1" style="119" min="8962" max="8964"/>
    <col width="9.140625" customWidth="1" style="119" min="8965" max="8965"/>
    <col width="11.28515625" bestFit="1" customWidth="1" style="119" min="8966" max="8966"/>
    <col width="9.140625" customWidth="1" style="119" min="8967" max="8970"/>
    <col width="11" bestFit="1" customWidth="1" style="119" min="8971" max="8971"/>
    <col width="9.140625" customWidth="1" style="119" min="8972" max="9216"/>
    <col width="15.28515625" bestFit="1" customWidth="1" style="119" min="9217" max="9217"/>
    <col width="22.85546875" bestFit="1" customWidth="1" style="119" min="9218" max="9220"/>
    <col width="9.140625" customWidth="1" style="119" min="9221" max="9221"/>
    <col width="11.28515625" bestFit="1" customWidth="1" style="119" min="9222" max="9222"/>
    <col width="9.140625" customWidth="1" style="119" min="9223" max="9226"/>
    <col width="11" bestFit="1" customWidth="1" style="119" min="9227" max="9227"/>
    <col width="9.140625" customWidth="1" style="119" min="9228" max="9472"/>
    <col width="15.28515625" bestFit="1" customWidth="1" style="119" min="9473" max="9473"/>
    <col width="22.85546875" bestFit="1" customWidth="1" style="119" min="9474" max="9476"/>
    <col width="9.140625" customWidth="1" style="119" min="9477" max="9477"/>
    <col width="11.28515625" bestFit="1" customWidth="1" style="119" min="9478" max="9478"/>
    <col width="9.140625" customWidth="1" style="119" min="9479" max="9482"/>
    <col width="11" bestFit="1" customWidth="1" style="119" min="9483" max="9483"/>
    <col width="9.140625" customWidth="1" style="119" min="9484" max="9728"/>
    <col width="15.28515625" bestFit="1" customWidth="1" style="119" min="9729" max="9729"/>
    <col width="22.85546875" bestFit="1" customWidth="1" style="119" min="9730" max="9732"/>
    <col width="9.140625" customWidth="1" style="119" min="9733" max="9733"/>
    <col width="11.28515625" bestFit="1" customWidth="1" style="119" min="9734" max="9734"/>
    <col width="9.140625" customWidth="1" style="119" min="9735" max="9738"/>
    <col width="11" bestFit="1" customWidth="1" style="119" min="9739" max="9739"/>
    <col width="9.140625" customWidth="1" style="119" min="9740" max="9984"/>
    <col width="15.28515625" bestFit="1" customWidth="1" style="119" min="9985" max="9985"/>
    <col width="22.85546875" bestFit="1" customWidth="1" style="119" min="9986" max="9988"/>
    <col width="9.140625" customWidth="1" style="119" min="9989" max="9989"/>
    <col width="11.28515625" bestFit="1" customWidth="1" style="119" min="9990" max="9990"/>
    <col width="9.140625" customWidth="1" style="119" min="9991" max="9994"/>
    <col width="11" bestFit="1" customWidth="1" style="119" min="9995" max="9995"/>
    <col width="9.140625" customWidth="1" style="119" min="9996" max="10240"/>
    <col width="15.28515625" bestFit="1" customWidth="1" style="119" min="10241" max="10241"/>
    <col width="22.85546875" bestFit="1" customWidth="1" style="119" min="10242" max="10244"/>
    <col width="9.140625" customWidth="1" style="119" min="10245" max="10245"/>
    <col width="11.28515625" bestFit="1" customWidth="1" style="119" min="10246" max="10246"/>
    <col width="9.140625" customWidth="1" style="119" min="10247" max="10250"/>
    <col width="11" bestFit="1" customWidth="1" style="119" min="10251" max="10251"/>
    <col width="9.140625" customWidth="1" style="119" min="10252" max="10496"/>
    <col width="15.28515625" bestFit="1" customWidth="1" style="119" min="10497" max="10497"/>
    <col width="22.85546875" bestFit="1" customWidth="1" style="119" min="10498" max="10500"/>
    <col width="9.140625" customWidth="1" style="119" min="10501" max="10501"/>
    <col width="11.28515625" bestFit="1" customWidth="1" style="119" min="10502" max="10502"/>
    <col width="9.140625" customWidth="1" style="119" min="10503" max="10506"/>
    <col width="11" bestFit="1" customWidth="1" style="119" min="10507" max="10507"/>
    <col width="9.140625" customWidth="1" style="119" min="10508" max="10752"/>
    <col width="15.28515625" bestFit="1" customWidth="1" style="119" min="10753" max="10753"/>
    <col width="22.85546875" bestFit="1" customWidth="1" style="119" min="10754" max="10756"/>
    <col width="9.140625" customWidth="1" style="119" min="10757" max="10757"/>
    <col width="11.28515625" bestFit="1" customWidth="1" style="119" min="10758" max="10758"/>
    <col width="9.140625" customWidth="1" style="119" min="10759" max="10762"/>
    <col width="11" bestFit="1" customWidth="1" style="119" min="10763" max="10763"/>
    <col width="9.140625" customWidth="1" style="119" min="10764" max="11008"/>
    <col width="15.28515625" bestFit="1" customWidth="1" style="119" min="11009" max="11009"/>
    <col width="22.85546875" bestFit="1" customWidth="1" style="119" min="11010" max="11012"/>
    <col width="9.140625" customWidth="1" style="119" min="11013" max="11013"/>
    <col width="11.28515625" bestFit="1" customWidth="1" style="119" min="11014" max="11014"/>
    <col width="9.140625" customWidth="1" style="119" min="11015" max="11018"/>
    <col width="11" bestFit="1" customWidth="1" style="119" min="11019" max="11019"/>
    <col width="9.140625" customWidth="1" style="119" min="11020" max="11264"/>
    <col width="15.28515625" bestFit="1" customWidth="1" style="119" min="11265" max="11265"/>
    <col width="22.85546875" bestFit="1" customWidth="1" style="119" min="11266" max="11268"/>
    <col width="9.140625" customWidth="1" style="119" min="11269" max="11269"/>
    <col width="11.28515625" bestFit="1" customWidth="1" style="119" min="11270" max="11270"/>
    <col width="9.140625" customWidth="1" style="119" min="11271" max="11274"/>
    <col width="11" bestFit="1" customWidth="1" style="119" min="11275" max="11275"/>
    <col width="9.140625" customWidth="1" style="119" min="11276" max="11520"/>
    <col width="15.28515625" bestFit="1" customWidth="1" style="119" min="11521" max="11521"/>
    <col width="22.85546875" bestFit="1" customWidth="1" style="119" min="11522" max="11524"/>
    <col width="9.140625" customWidth="1" style="119" min="11525" max="11525"/>
    <col width="11.28515625" bestFit="1" customWidth="1" style="119" min="11526" max="11526"/>
    <col width="9.140625" customWidth="1" style="119" min="11527" max="11530"/>
    <col width="11" bestFit="1" customWidth="1" style="119" min="11531" max="11531"/>
    <col width="9.140625" customWidth="1" style="119" min="11532" max="11776"/>
    <col width="15.28515625" bestFit="1" customWidth="1" style="119" min="11777" max="11777"/>
    <col width="22.85546875" bestFit="1" customWidth="1" style="119" min="11778" max="11780"/>
    <col width="9.140625" customWidth="1" style="119" min="11781" max="11781"/>
    <col width="11.28515625" bestFit="1" customWidth="1" style="119" min="11782" max="11782"/>
    <col width="9.140625" customWidth="1" style="119" min="11783" max="11786"/>
    <col width="11" bestFit="1" customWidth="1" style="119" min="11787" max="11787"/>
    <col width="9.140625" customWidth="1" style="119" min="11788" max="12032"/>
    <col width="15.28515625" bestFit="1" customWidth="1" style="119" min="12033" max="12033"/>
    <col width="22.85546875" bestFit="1" customWidth="1" style="119" min="12034" max="12036"/>
    <col width="9.140625" customWidth="1" style="119" min="12037" max="12037"/>
    <col width="11.28515625" bestFit="1" customWidth="1" style="119" min="12038" max="12038"/>
    <col width="9.140625" customWidth="1" style="119" min="12039" max="12042"/>
    <col width="11" bestFit="1" customWidth="1" style="119" min="12043" max="12043"/>
    <col width="9.140625" customWidth="1" style="119" min="12044" max="12288"/>
    <col width="15.28515625" bestFit="1" customWidth="1" style="119" min="12289" max="12289"/>
    <col width="22.85546875" bestFit="1" customWidth="1" style="119" min="12290" max="12292"/>
    <col width="9.140625" customWidth="1" style="119" min="12293" max="12293"/>
    <col width="11.28515625" bestFit="1" customWidth="1" style="119" min="12294" max="12294"/>
    <col width="9.140625" customWidth="1" style="119" min="12295" max="12298"/>
    <col width="11" bestFit="1" customWidth="1" style="119" min="12299" max="12299"/>
    <col width="9.140625" customWidth="1" style="119" min="12300" max="12544"/>
    <col width="15.28515625" bestFit="1" customWidth="1" style="119" min="12545" max="12545"/>
    <col width="22.85546875" bestFit="1" customWidth="1" style="119" min="12546" max="12548"/>
    <col width="9.140625" customWidth="1" style="119" min="12549" max="12549"/>
    <col width="11.28515625" bestFit="1" customWidth="1" style="119" min="12550" max="12550"/>
    <col width="9.140625" customWidth="1" style="119" min="12551" max="12554"/>
    <col width="11" bestFit="1" customWidth="1" style="119" min="12555" max="12555"/>
    <col width="9.140625" customWidth="1" style="119" min="12556" max="12800"/>
    <col width="15.28515625" bestFit="1" customWidth="1" style="119" min="12801" max="12801"/>
    <col width="22.85546875" bestFit="1" customWidth="1" style="119" min="12802" max="12804"/>
    <col width="9.140625" customWidth="1" style="119" min="12805" max="12805"/>
    <col width="11.28515625" bestFit="1" customWidth="1" style="119" min="12806" max="12806"/>
    <col width="9.140625" customWidth="1" style="119" min="12807" max="12810"/>
    <col width="11" bestFit="1" customWidth="1" style="119" min="12811" max="12811"/>
    <col width="9.140625" customWidth="1" style="119" min="12812" max="13056"/>
    <col width="15.28515625" bestFit="1" customWidth="1" style="119" min="13057" max="13057"/>
    <col width="22.85546875" bestFit="1" customWidth="1" style="119" min="13058" max="13060"/>
    <col width="9.140625" customWidth="1" style="119" min="13061" max="13061"/>
    <col width="11.28515625" bestFit="1" customWidth="1" style="119" min="13062" max="13062"/>
    <col width="9.140625" customWidth="1" style="119" min="13063" max="13066"/>
    <col width="11" bestFit="1" customWidth="1" style="119" min="13067" max="13067"/>
    <col width="9.140625" customWidth="1" style="119" min="13068" max="13312"/>
    <col width="15.28515625" bestFit="1" customWidth="1" style="119" min="13313" max="13313"/>
    <col width="22.85546875" bestFit="1" customWidth="1" style="119" min="13314" max="13316"/>
    <col width="9.140625" customWidth="1" style="119" min="13317" max="13317"/>
    <col width="11.28515625" bestFit="1" customWidth="1" style="119" min="13318" max="13318"/>
    <col width="9.140625" customWidth="1" style="119" min="13319" max="13322"/>
    <col width="11" bestFit="1" customWidth="1" style="119" min="13323" max="13323"/>
    <col width="9.140625" customWidth="1" style="119" min="13324" max="13568"/>
    <col width="15.28515625" bestFit="1" customWidth="1" style="119" min="13569" max="13569"/>
    <col width="22.85546875" bestFit="1" customWidth="1" style="119" min="13570" max="13572"/>
    <col width="9.140625" customWidth="1" style="119" min="13573" max="13573"/>
    <col width="11.28515625" bestFit="1" customWidth="1" style="119" min="13574" max="13574"/>
    <col width="9.140625" customWidth="1" style="119" min="13575" max="13578"/>
    <col width="11" bestFit="1" customWidth="1" style="119" min="13579" max="13579"/>
    <col width="9.140625" customWidth="1" style="119" min="13580" max="13824"/>
    <col width="15.28515625" bestFit="1" customWidth="1" style="119" min="13825" max="13825"/>
    <col width="22.85546875" bestFit="1" customWidth="1" style="119" min="13826" max="13828"/>
    <col width="9.140625" customWidth="1" style="119" min="13829" max="13829"/>
    <col width="11.28515625" bestFit="1" customWidth="1" style="119" min="13830" max="13830"/>
    <col width="9.140625" customWidth="1" style="119" min="13831" max="13834"/>
    <col width="11" bestFit="1" customWidth="1" style="119" min="13835" max="13835"/>
    <col width="9.140625" customWidth="1" style="119" min="13836" max="14080"/>
    <col width="15.28515625" bestFit="1" customWidth="1" style="119" min="14081" max="14081"/>
    <col width="22.85546875" bestFit="1" customWidth="1" style="119" min="14082" max="14084"/>
    <col width="9.140625" customWidth="1" style="119" min="14085" max="14085"/>
    <col width="11.28515625" bestFit="1" customWidth="1" style="119" min="14086" max="14086"/>
    <col width="9.140625" customWidth="1" style="119" min="14087" max="14090"/>
    <col width="11" bestFit="1" customWidth="1" style="119" min="14091" max="14091"/>
    <col width="9.140625" customWidth="1" style="119" min="14092" max="14336"/>
    <col width="15.28515625" bestFit="1" customWidth="1" style="119" min="14337" max="14337"/>
    <col width="22.85546875" bestFit="1" customWidth="1" style="119" min="14338" max="14340"/>
    <col width="9.140625" customWidth="1" style="119" min="14341" max="14341"/>
    <col width="11.28515625" bestFit="1" customWidth="1" style="119" min="14342" max="14342"/>
    <col width="9.140625" customWidth="1" style="119" min="14343" max="14346"/>
    <col width="11" bestFit="1" customWidth="1" style="119" min="14347" max="14347"/>
    <col width="9.140625" customWidth="1" style="119" min="14348" max="14592"/>
    <col width="15.28515625" bestFit="1" customWidth="1" style="119" min="14593" max="14593"/>
    <col width="22.85546875" bestFit="1" customWidth="1" style="119" min="14594" max="14596"/>
    <col width="9.140625" customWidth="1" style="119" min="14597" max="14597"/>
    <col width="11.28515625" bestFit="1" customWidth="1" style="119" min="14598" max="14598"/>
    <col width="9.140625" customWidth="1" style="119" min="14599" max="14602"/>
    <col width="11" bestFit="1" customWidth="1" style="119" min="14603" max="14603"/>
    <col width="9.140625" customWidth="1" style="119" min="14604" max="14848"/>
    <col width="15.28515625" bestFit="1" customWidth="1" style="119" min="14849" max="14849"/>
    <col width="22.85546875" bestFit="1" customWidth="1" style="119" min="14850" max="14852"/>
    <col width="9.140625" customWidth="1" style="119" min="14853" max="14853"/>
    <col width="11.28515625" bestFit="1" customWidth="1" style="119" min="14854" max="14854"/>
    <col width="9.140625" customWidth="1" style="119" min="14855" max="14858"/>
    <col width="11" bestFit="1" customWidth="1" style="119" min="14859" max="14859"/>
    <col width="9.140625" customWidth="1" style="119" min="14860" max="15104"/>
    <col width="15.28515625" bestFit="1" customWidth="1" style="119" min="15105" max="15105"/>
    <col width="22.85546875" bestFit="1" customWidth="1" style="119" min="15106" max="15108"/>
    <col width="9.140625" customWidth="1" style="119" min="15109" max="15109"/>
    <col width="11.28515625" bestFit="1" customWidth="1" style="119" min="15110" max="15110"/>
    <col width="9.140625" customWidth="1" style="119" min="15111" max="15114"/>
    <col width="11" bestFit="1" customWidth="1" style="119" min="15115" max="15115"/>
    <col width="9.140625" customWidth="1" style="119" min="15116" max="15360"/>
    <col width="15.28515625" bestFit="1" customWidth="1" style="119" min="15361" max="15361"/>
    <col width="22.85546875" bestFit="1" customWidth="1" style="119" min="15362" max="15364"/>
    <col width="9.140625" customWidth="1" style="119" min="15365" max="15365"/>
    <col width="11.28515625" bestFit="1" customWidth="1" style="119" min="15366" max="15366"/>
    <col width="9.140625" customWidth="1" style="119" min="15367" max="15370"/>
    <col width="11" bestFit="1" customWidth="1" style="119" min="15371" max="15371"/>
    <col width="9.140625" customWidth="1" style="119" min="15372" max="15616"/>
    <col width="15.28515625" bestFit="1" customWidth="1" style="119" min="15617" max="15617"/>
    <col width="22.85546875" bestFit="1" customWidth="1" style="119" min="15618" max="15620"/>
    <col width="9.140625" customWidth="1" style="119" min="15621" max="15621"/>
    <col width="11.28515625" bestFit="1" customWidth="1" style="119" min="15622" max="15622"/>
    <col width="9.140625" customWidth="1" style="119" min="15623" max="15626"/>
    <col width="11" bestFit="1" customWidth="1" style="119" min="15627" max="15627"/>
    <col width="9.140625" customWidth="1" style="119" min="15628" max="15872"/>
    <col width="15.28515625" bestFit="1" customWidth="1" style="119" min="15873" max="15873"/>
    <col width="22.85546875" bestFit="1" customWidth="1" style="119" min="15874" max="15876"/>
    <col width="9.140625" customWidth="1" style="119" min="15877" max="15877"/>
    <col width="11.28515625" bestFit="1" customWidth="1" style="119" min="15878" max="15878"/>
    <col width="9.140625" customWidth="1" style="119" min="15879" max="15882"/>
    <col width="11" bestFit="1" customWidth="1" style="119" min="15883" max="15883"/>
    <col width="9.140625" customWidth="1" style="119" min="15884" max="16128"/>
    <col width="15.28515625" bestFit="1" customWidth="1" style="119" min="16129" max="16129"/>
    <col width="22.85546875" bestFit="1" customWidth="1" style="119" min="16130" max="16132"/>
    <col width="9.140625" customWidth="1" style="119" min="16133" max="16133"/>
    <col width="11.28515625" bestFit="1" customWidth="1" style="119" min="16134" max="16134"/>
    <col width="9.140625" customWidth="1" style="119" min="16135" max="16138"/>
    <col width="11" bestFit="1" customWidth="1" style="119" min="16139" max="16139"/>
    <col width="9.140625" customWidth="1" style="119" min="16140" max="16384"/>
  </cols>
  <sheetData>
    <row r="1" ht="20.25" customHeight="1" s="225">
      <c r="A1" s="118" t="inlineStr">
        <is>
          <t>Exchange Rates of   US DOLLAR</t>
        </is>
      </c>
    </row>
    <row r="2" ht="20.25" customHeight="1" s="225">
      <c r="A2" s="120" t="inlineStr">
        <is>
          <t>Between 1 January 2026 and 31 December 2026</t>
        </is>
      </c>
    </row>
    <row r="3" ht="20.25" customHeight="1" s="225">
      <c r="A3" s="121" t="inlineStr">
        <is>
          <t xml:space="preserve">( BAHT / 1 US DOLLAR)   </t>
        </is>
      </c>
    </row>
    <row r="4" ht="20.25" customHeight="1" s="225">
      <c r="A4" s="235" t="inlineStr">
        <is>
          <t xml:space="preserve">Date </t>
        </is>
      </c>
      <c r="B4" s="236" t="inlineStr">
        <is>
          <t xml:space="preserve">Average Buying Rates </t>
        </is>
      </c>
      <c r="C4" s="237" t="n"/>
      <c r="D4" s="238" t="inlineStr">
        <is>
          <t>Average Selling Rates</t>
        </is>
      </c>
    </row>
    <row r="5" ht="20.25" customHeight="1" s="225">
      <c r="A5" s="239" t="n"/>
      <c r="B5" s="127" t="inlineStr">
        <is>
          <t xml:space="preserve">Sight Bill </t>
        </is>
      </c>
      <c r="C5" s="127" t="inlineStr">
        <is>
          <t xml:space="preserve">Transfer </t>
        </is>
      </c>
      <c r="D5" s="240" t="n"/>
    </row>
    <row r="6">
      <c r="A6" t="inlineStr">
        <is>
          <t>02 Jan 2025</t>
        </is>
      </c>
      <c r="C6" t="n">
        <v>34.042</v>
      </c>
      <c r="D6" t="n">
        <v>34.3667</v>
      </c>
    </row>
    <row r="7">
      <c r="A7" t="inlineStr">
        <is>
          <t>03 Jan 2025</t>
        </is>
      </c>
      <c r="C7" t="n">
        <v>34.2643</v>
      </c>
      <c r="D7" t="n">
        <v>34.5899</v>
      </c>
    </row>
    <row r="8">
      <c r="A8" t="inlineStr">
        <is>
          <t>06 Jan 2025</t>
        </is>
      </c>
      <c r="C8" t="n">
        <v>34.4171</v>
      </c>
      <c r="D8" t="n">
        <v>34.7345</v>
      </c>
    </row>
    <row r="9">
      <c r="A9" t="inlineStr">
        <is>
          <t>07 Jan 2025</t>
        </is>
      </c>
      <c r="C9" t="n">
        <v>34.4104</v>
      </c>
      <c r="D9" t="n">
        <v>34.7342</v>
      </c>
    </row>
    <row r="10">
      <c r="A10" t="inlineStr">
        <is>
          <t>08 Jan 2025</t>
        </is>
      </c>
      <c r="C10" t="n">
        <v>34.4306</v>
      </c>
      <c r="D10" t="n">
        <v>34.7537</v>
      </c>
    </row>
    <row r="11">
      <c r="A11" t="inlineStr">
        <is>
          <t>09 Jan 2025</t>
        </is>
      </c>
      <c r="C11" t="n">
        <v>34.4976</v>
      </c>
      <c r="D11" t="n">
        <v>34.8274</v>
      </c>
    </row>
    <row r="12">
      <c r="A12" t="inlineStr">
        <is>
          <t>10 Jan 2025</t>
        </is>
      </c>
      <c r="C12" t="n">
        <v>34.4251</v>
      </c>
      <c r="D12" t="n">
        <v>34.7521</v>
      </c>
    </row>
    <row r="13">
      <c r="A13" t="inlineStr">
        <is>
          <t>13 Jan 2025</t>
        </is>
      </c>
      <c r="C13" t="n">
        <v>34.5963</v>
      </c>
      <c r="D13" t="n">
        <v>34.9231</v>
      </c>
    </row>
    <row r="14">
      <c r="A14" t="inlineStr">
        <is>
          <t>14 Jan 2025</t>
        </is>
      </c>
      <c r="C14" t="n">
        <v>34.5496</v>
      </c>
      <c r="D14" t="n">
        <v>34.8622</v>
      </c>
    </row>
    <row r="15">
      <c r="A15" t="inlineStr">
        <is>
          <t>15 Jan 2025</t>
        </is>
      </c>
      <c r="C15" t="n">
        <v>34.5838</v>
      </c>
      <c r="D15" t="n">
        <v>34.9052</v>
      </c>
    </row>
    <row r="16">
      <c r="A16" t="inlineStr">
        <is>
          <t>16 Jan 2025</t>
        </is>
      </c>
      <c r="C16" t="n">
        <v>34.3889</v>
      </c>
      <c r="D16" t="n">
        <v>34.7154</v>
      </c>
    </row>
    <row r="17">
      <c r="A17" t="inlineStr">
        <is>
          <t>17 Jan 2025</t>
        </is>
      </c>
      <c r="C17" t="n">
        <v>34.3231</v>
      </c>
      <c r="D17" t="n">
        <v>34.6434</v>
      </c>
    </row>
    <row r="18">
      <c r="A18" t="inlineStr">
        <is>
          <t>20 Jan 2025</t>
        </is>
      </c>
      <c r="C18" t="n">
        <v>34.2307</v>
      </c>
      <c r="D18" t="n">
        <v>34.5615</v>
      </c>
    </row>
    <row r="19">
      <c r="A19" t="inlineStr">
        <is>
          <t>21 Jan 2025</t>
        </is>
      </c>
      <c r="C19" t="n">
        <v>33.9911</v>
      </c>
      <c r="D19" t="n">
        <v>34.2975</v>
      </c>
    </row>
    <row r="20">
      <c r="A20" t="inlineStr">
        <is>
          <t>22 Jan 2025</t>
        </is>
      </c>
      <c r="C20" t="n">
        <v>33.7934</v>
      </c>
      <c r="D20" t="n">
        <v>34.1071</v>
      </c>
    </row>
    <row r="21">
      <c r="A21" t="inlineStr">
        <is>
          <t>23 Jan 2025</t>
        </is>
      </c>
      <c r="C21" t="n">
        <v>33.7636</v>
      </c>
      <c r="D21" t="n">
        <v>34.0863</v>
      </c>
    </row>
    <row r="22">
      <c r="A22" t="inlineStr">
        <is>
          <t>24 Jan 2025</t>
        </is>
      </c>
      <c r="C22" t="n">
        <v>33.6866</v>
      </c>
      <c r="D22" t="n">
        <v>34.0252</v>
      </c>
    </row>
    <row r="23">
      <c r="A23" t="inlineStr">
        <is>
          <t>27 Jan 2025</t>
        </is>
      </c>
      <c r="C23" t="n">
        <v>33.5507</v>
      </c>
      <c r="D23" t="n">
        <v>33.8757</v>
      </c>
    </row>
    <row r="24">
      <c r="A24" t="inlineStr">
        <is>
          <t>28 Jan 2025</t>
        </is>
      </c>
      <c r="C24" t="n">
        <v>33.709</v>
      </c>
      <c r="D24" t="n">
        <v>34.0311</v>
      </c>
    </row>
    <row r="25">
      <c r="A25" t="inlineStr">
        <is>
          <t>29 Jan 2025</t>
        </is>
      </c>
      <c r="C25" t="n">
        <v>33.615</v>
      </c>
      <c r="D25" t="n">
        <v>33.9397</v>
      </c>
    </row>
    <row r="26">
      <c r="A26" t="inlineStr">
        <is>
          <t>30 Jan 2025</t>
        </is>
      </c>
      <c r="C26" t="n">
        <v>33.621</v>
      </c>
      <c r="D26" t="n">
        <v>33.9338</v>
      </c>
    </row>
    <row r="27">
      <c r="A27" t="inlineStr">
        <is>
          <t>31 Jan 2025</t>
        </is>
      </c>
      <c r="C27" t="n">
        <v>33.4853</v>
      </c>
      <c r="D27" t="n">
        <v>33.8042</v>
      </c>
    </row>
    <row r="28">
      <c r="A28" t="inlineStr">
        <is>
          <t>03 Feb 2025</t>
        </is>
      </c>
      <c r="C28" t="n">
        <v>33.8996</v>
      </c>
      <c r="D28" t="n">
        <v>34.2235</v>
      </c>
    </row>
    <row r="29">
      <c r="A29" t="inlineStr">
        <is>
          <t>04 Feb 2025</t>
        </is>
      </c>
      <c r="C29" t="n">
        <v>33.7322</v>
      </c>
      <c r="D29" t="n">
        <v>34.0441</v>
      </c>
    </row>
    <row r="30">
      <c r="A30" t="inlineStr">
        <is>
          <t>05 Feb 2025</t>
        </is>
      </c>
      <c r="C30" t="n">
        <v>33.5151</v>
      </c>
      <c r="D30" t="n">
        <v>33.8337</v>
      </c>
    </row>
    <row r="31">
      <c r="A31" t="inlineStr">
        <is>
          <t>06 Feb 2025</t>
        </is>
      </c>
      <c r="C31" t="n">
        <v>33.4886</v>
      </c>
      <c r="D31" t="n">
        <v>33.8171</v>
      </c>
    </row>
    <row r="32">
      <c r="A32" t="inlineStr">
        <is>
          <t>07 Feb 2025</t>
        </is>
      </c>
      <c r="C32" t="n">
        <v>33.5753</v>
      </c>
      <c r="D32" t="n">
        <v>33.897</v>
      </c>
    </row>
    <row r="33">
      <c r="A33" t="inlineStr">
        <is>
          <t>10 Feb 2025</t>
        </is>
      </c>
      <c r="C33" t="n">
        <v>33.7078</v>
      </c>
      <c r="D33" t="n">
        <v>34.0367</v>
      </c>
    </row>
    <row r="34">
      <c r="A34" t="inlineStr">
        <is>
          <t>11 Feb 2025</t>
        </is>
      </c>
      <c r="C34" t="n">
        <v>33.8711</v>
      </c>
      <c r="D34" t="n">
        <v>34.1978</v>
      </c>
    </row>
    <row r="35">
      <c r="A35" t="inlineStr">
        <is>
          <t>13 Feb 2025</t>
        </is>
      </c>
      <c r="C35" t="n">
        <v>33.8153</v>
      </c>
      <c r="D35" t="n">
        <v>34.1241</v>
      </c>
    </row>
    <row r="36">
      <c r="A36" t="inlineStr">
        <is>
          <t>14 Feb 2025</t>
        </is>
      </c>
      <c r="C36" t="n">
        <v>33.5134</v>
      </c>
      <c r="D36" t="n">
        <v>33.8426</v>
      </c>
    </row>
    <row r="37">
      <c r="A37" t="inlineStr">
        <is>
          <t>17 Feb 2025</t>
        </is>
      </c>
      <c r="C37" t="n">
        <v>33.5498</v>
      </c>
      <c r="D37" t="n">
        <v>33.8752</v>
      </c>
    </row>
    <row r="38">
      <c r="A38" t="inlineStr">
        <is>
          <t>18 Feb 2025</t>
        </is>
      </c>
      <c r="C38" t="n">
        <v>33.5944</v>
      </c>
      <c r="D38" t="n">
        <v>33.9141</v>
      </c>
    </row>
    <row r="39">
      <c r="A39" t="inlineStr">
        <is>
          <t>19 Feb 2025</t>
        </is>
      </c>
      <c r="C39" t="n">
        <v>33.5131</v>
      </c>
      <c r="D39" t="n">
        <v>33.8376</v>
      </c>
    </row>
    <row r="40">
      <c r="A40" t="inlineStr">
        <is>
          <t>20 Feb 2025</t>
        </is>
      </c>
      <c r="C40" t="n">
        <v>33.5103</v>
      </c>
      <c r="D40" t="n">
        <v>33.8391</v>
      </c>
    </row>
    <row r="41">
      <c r="A41" t="inlineStr">
        <is>
          <t>21 Feb 2025</t>
        </is>
      </c>
      <c r="C41" t="n">
        <v>33.4281</v>
      </c>
      <c r="D41" t="n">
        <v>33.7513</v>
      </c>
    </row>
    <row r="42">
      <c r="A42" t="inlineStr">
        <is>
          <t>24 Feb 2025</t>
        </is>
      </c>
      <c r="C42" t="n">
        <v>33.345</v>
      </c>
      <c r="D42" t="n">
        <v>33.662</v>
      </c>
    </row>
    <row r="43">
      <c r="A43" t="inlineStr">
        <is>
          <t>25 Feb 2025</t>
        </is>
      </c>
      <c r="C43" t="n">
        <v>33.4208</v>
      </c>
      <c r="D43" t="n">
        <v>33.7467</v>
      </c>
    </row>
    <row r="44">
      <c r="A44" t="inlineStr">
        <is>
          <t>26 Feb 2025</t>
        </is>
      </c>
      <c r="C44" t="n">
        <v>33.6358</v>
      </c>
      <c r="D44" t="n">
        <v>33.9495</v>
      </c>
    </row>
    <row r="45">
      <c r="A45" t="inlineStr">
        <is>
          <t>27 Feb 2025</t>
        </is>
      </c>
      <c r="C45" t="n">
        <v>33.6834</v>
      </c>
      <c r="D45" t="n">
        <v>33.9983</v>
      </c>
    </row>
    <row r="46">
      <c r="A46" t="inlineStr">
        <is>
          <t>28 Feb 2025</t>
        </is>
      </c>
      <c r="C46" t="n">
        <v>33.9237</v>
      </c>
      <c r="D46" t="n">
        <v>34.2408</v>
      </c>
    </row>
    <row r="47">
      <c r="A47" t="inlineStr">
        <is>
          <t>03 Mar 2025</t>
        </is>
      </c>
      <c r="C47" t="n">
        <v>34.0771</v>
      </c>
      <c r="D47" t="n">
        <v>34.4028</v>
      </c>
    </row>
    <row r="48">
      <c r="A48" t="inlineStr">
        <is>
          <t>04 Mar 2025</t>
        </is>
      </c>
      <c r="C48" t="n">
        <v>33.7933</v>
      </c>
      <c r="D48" t="n">
        <v>34.1196</v>
      </c>
    </row>
    <row r="49">
      <c r="A49" t="inlineStr">
        <is>
          <t>05 Mar 2025</t>
        </is>
      </c>
      <c r="C49" t="n">
        <v>33.5591</v>
      </c>
      <c r="D49" t="n">
        <v>33.8788</v>
      </c>
    </row>
    <row r="50">
      <c r="A50" t="inlineStr">
        <is>
          <t>06 Mar 2025</t>
        </is>
      </c>
      <c r="C50" t="n">
        <v>33.4654</v>
      </c>
      <c r="D50" t="n">
        <v>33.7819</v>
      </c>
    </row>
    <row r="51">
      <c r="A51" t="inlineStr">
        <is>
          <t>07 Mar 2025</t>
        </is>
      </c>
      <c r="C51" t="n">
        <v>33.5867</v>
      </c>
      <c r="D51" t="n">
        <v>33.9031</v>
      </c>
    </row>
    <row r="52">
      <c r="A52" t="inlineStr">
        <is>
          <t>10 Mar 2025</t>
        </is>
      </c>
      <c r="C52" t="n">
        <v>33.589</v>
      </c>
      <c r="D52" t="n">
        <v>33.9189</v>
      </c>
    </row>
    <row r="53">
      <c r="A53" t="inlineStr">
        <is>
          <t>11 Mar 2025</t>
        </is>
      </c>
      <c r="C53" t="n">
        <v>33.7545</v>
      </c>
      <c r="D53" t="n">
        <v>34.0728</v>
      </c>
    </row>
    <row r="54">
      <c r="A54" t="inlineStr">
        <is>
          <t>12 Mar 2025</t>
        </is>
      </c>
      <c r="C54" t="n">
        <v>33.6159</v>
      </c>
      <c r="D54" t="n">
        <v>33.938</v>
      </c>
    </row>
    <row r="55">
      <c r="A55" t="inlineStr">
        <is>
          <t>13 Mar 2025</t>
        </is>
      </c>
      <c r="C55" t="n">
        <v>33.6285</v>
      </c>
      <c r="D55" t="n">
        <v>33.9573</v>
      </c>
    </row>
    <row r="56">
      <c r="A56" t="inlineStr">
        <is>
          <t>14 Mar 2025</t>
        </is>
      </c>
      <c r="C56" t="n">
        <v>33.5136</v>
      </c>
      <c r="D56" t="n">
        <v>33.8388</v>
      </c>
    </row>
    <row r="57">
      <c r="A57" t="inlineStr">
        <is>
          <t>17 Mar 2025</t>
        </is>
      </c>
      <c r="C57" t="n">
        <v>33.4913</v>
      </c>
      <c r="D57" t="n">
        <v>33.8026</v>
      </c>
    </row>
    <row r="58">
      <c r="A58" t="inlineStr">
        <is>
          <t>18 Mar 2025</t>
        </is>
      </c>
      <c r="C58" t="n">
        <v>33.4369</v>
      </c>
      <c r="D58" t="n">
        <v>33.7625</v>
      </c>
    </row>
    <row r="59">
      <c r="A59" t="inlineStr">
        <is>
          <t>19 Mar 2025</t>
        </is>
      </c>
      <c r="C59" t="n">
        <v>33.4721</v>
      </c>
      <c r="D59" t="n">
        <v>33.7957</v>
      </c>
    </row>
    <row r="60">
      <c r="A60" t="inlineStr">
        <is>
          <t>20 Mar 2025</t>
        </is>
      </c>
      <c r="C60" t="n">
        <v>33.4516</v>
      </c>
      <c r="D60" t="n">
        <v>33.771</v>
      </c>
    </row>
    <row r="61">
      <c r="A61" t="inlineStr">
        <is>
          <t>21 Mar 2025</t>
        </is>
      </c>
      <c r="C61" t="n">
        <v>33.6539</v>
      </c>
      <c r="D61" t="n">
        <v>33.9746</v>
      </c>
    </row>
    <row r="62">
      <c r="A62" t="inlineStr">
        <is>
          <t>24 Mar 2025</t>
        </is>
      </c>
      <c r="C62" t="n">
        <v>33.7615</v>
      </c>
      <c r="D62" t="n">
        <v>34.0879</v>
      </c>
    </row>
    <row r="63">
      <c r="A63" t="inlineStr">
        <is>
          <t>25 Mar 2025</t>
        </is>
      </c>
      <c r="C63" t="n">
        <v>33.8333</v>
      </c>
      <c r="D63" t="n">
        <v>34.1555</v>
      </c>
    </row>
    <row r="64">
      <c r="A64" t="inlineStr">
        <is>
          <t>26 Mar 2025</t>
        </is>
      </c>
      <c r="C64" t="n">
        <v>33.762</v>
      </c>
      <c r="D64" t="n">
        <v>34.0864</v>
      </c>
    </row>
    <row r="65">
      <c r="A65" t="inlineStr">
        <is>
          <t>27 Mar 2025</t>
        </is>
      </c>
      <c r="C65" t="n">
        <v>33.7952</v>
      </c>
      <c r="D65" t="n">
        <v>34.1192</v>
      </c>
    </row>
    <row r="66">
      <c r="A66" t="inlineStr">
        <is>
          <t>28 Mar 2025</t>
        </is>
      </c>
      <c r="C66" t="n">
        <v>33.7306</v>
      </c>
      <c r="D66" t="n">
        <v>34.0591</v>
      </c>
    </row>
    <row r="67">
      <c r="A67" t="inlineStr">
        <is>
          <t>31 Mar 2025</t>
        </is>
      </c>
      <c r="C67" t="n">
        <v>33.767</v>
      </c>
      <c r="D67" t="n">
        <v>34.0859</v>
      </c>
    </row>
    <row r="68">
      <c r="A68" t="inlineStr">
        <is>
          <t>01 Apr 2025</t>
        </is>
      </c>
      <c r="C68" t="n">
        <v>33.8679</v>
      </c>
      <c r="D68" t="n">
        <v>34.1939</v>
      </c>
    </row>
    <row r="69">
      <c r="A69" t="inlineStr">
        <is>
          <t>02 Apr 2025</t>
        </is>
      </c>
      <c r="C69" t="n">
        <v>34.0235</v>
      </c>
      <c r="D69" t="n">
        <v>34.3369</v>
      </c>
    </row>
    <row r="70">
      <c r="A70" t="inlineStr">
        <is>
          <t>03 Apr 2025</t>
        </is>
      </c>
      <c r="C70" t="n">
        <v>34.1676</v>
      </c>
      <c r="D70" t="n">
        <v>34.4888</v>
      </c>
    </row>
    <row r="71">
      <c r="A71" t="inlineStr">
        <is>
          <t>04 Apr 2025</t>
        </is>
      </c>
      <c r="C71" t="n">
        <v>33.9932</v>
      </c>
      <c r="D71" t="n">
        <v>34.3043</v>
      </c>
    </row>
    <row r="72">
      <c r="A72" t="inlineStr">
        <is>
          <t>08 Apr 2025</t>
        </is>
      </c>
      <c r="C72" t="n">
        <v>34.4715</v>
      </c>
      <c r="D72" t="n">
        <v>34.783</v>
      </c>
    </row>
    <row r="73">
      <c r="A73" t="inlineStr">
        <is>
          <t>09 Apr 2025</t>
        </is>
      </c>
      <c r="C73" t="n">
        <v>34.6303</v>
      </c>
      <c r="D73" t="n">
        <v>34.9572</v>
      </c>
    </row>
    <row r="74">
      <c r="A74" t="inlineStr">
        <is>
          <t>10 Apr 2025</t>
        </is>
      </c>
      <c r="C74" t="n">
        <v>34.0492</v>
      </c>
      <c r="D74" t="n">
        <v>34.3685</v>
      </c>
    </row>
    <row r="75">
      <c r="A75" t="inlineStr">
        <is>
          <t>11 Apr 2025</t>
        </is>
      </c>
      <c r="C75" t="n">
        <v>33.5761</v>
      </c>
      <c r="D75" t="n">
        <v>33.9086</v>
      </c>
    </row>
    <row r="76">
      <c r="A76" t="inlineStr">
        <is>
          <t>16 Apr 2025</t>
        </is>
      </c>
      <c r="C76" t="n">
        <v>33.2273</v>
      </c>
      <c r="D76" t="n">
        <v>33.58</v>
      </c>
    </row>
    <row r="77">
      <c r="A77" t="inlineStr">
        <is>
          <t>17 Apr 2025</t>
        </is>
      </c>
      <c r="C77" t="n">
        <v>33.0618</v>
      </c>
      <c r="D77" t="n">
        <v>33.39</v>
      </c>
    </row>
    <row r="78">
      <c r="A78" t="inlineStr">
        <is>
          <t>18 Apr 2025</t>
        </is>
      </c>
      <c r="C78" t="n">
        <v>33.2028</v>
      </c>
      <c r="D78" t="n">
        <v>33.5326</v>
      </c>
    </row>
    <row r="79">
      <c r="A79" t="inlineStr">
        <is>
          <t>21 Apr 2025</t>
        </is>
      </c>
      <c r="C79" t="n">
        <v>33.0019</v>
      </c>
      <c r="D79" t="n">
        <v>33.3462</v>
      </c>
    </row>
    <row r="80">
      <c r="A80" t="inlineStr">
        <is>
          <t>22 Apr 2025</t>
        </is>
      </c>
      <c r="C80" t="n">
        <v>33.0185</v>
      </c>
      <c r="D80" t="n">
        <v>33.3418</v>
      </c>
    </row>
    <row r="81">
      <c r="A81" t="inlineStr">
        <is>
          <t>23 Apr 2025</t>
        </is>
      </c>
      <c r="C81" t="n">
        <v>33.3202</v>
      </c>
      <c r="D81" t="n">
        <v>33.6508</v>
      </c>
    </row>
    <row r="82">
      <c r="A82" t="inlineStr">
        <is>
          <t>24 Apr 2025</t>
        </is>
      </c>
      <c r="C82" t="n">
        <v>33.3701</v>
      </c>
      <c r="D82" t="n">
        <v>33.6985</v>
      </c>
    </row>
    <row r="83">
      <c r="A83" t="inlineStr">
        <is>
          <t>25 Apr 2025</t>
        </is>
      </c>
      <c r="C83" t="n">
        <v>33.3051</v>
      </c>
      <c r="D83" t="n">
        <v>33.6215</v>
      </c>
    </row>
    <row r="84">
      <c r="A84" t="inlineStr">
        <is>
          <t>28 Apr 2025</t>
        </is>
      </c>
      <c r="C84" t="n">
        <v>33.4809</v>
      </c>
      <c r="D84" t="n">
        <v>33.8082</v>
      </c>
    </row>
    <row r="85">
      <c r="A85" t="inlineStr">
        <is>
          <t>29 Apr 2025</t>
        </is>
      </c>
      <c r="C85" t="n">
        <v>33.1817</v>
      </c>
      <c r="D85" t="n">
        <v>33.4988</v>
      </c>
    </row>
    <row r="86">
      <c r="A86" t="inlineStr">
        <is>
          <t>30 Apr 2025</t>
        </is>
      </c>
      <c r="C86" t="n">
        <v>33.2506</v>
      </c>
      <c r="D86" t="n">
        <v>33.5722</v>
      </c>
    </row>
    <row r="87">
      <c r="A87" t="inlineStr">
        <is>
          <t>02 May 2025</t>
        </is>
      </c>
      <c r="C87" t="n">
        <v>33.2116</v>
      </c>
      <c r="D87" t="n">
        <v>33.5663</v>
      </c>
    </row>
    <row r="88">
      <c r="A88" t="inlineStr">
        <is>
          <t>06 May 2025</t>
        </is>
      </c>
      <c r="C88" t="n">
        <v>32.7169</v>
      </c>
      <c r="D88" t="n">
        <v>33.0443</v>
      </c>
    </row>
    <row r="89">
      <c r="A89" t="inlineStr">
        <is>
          <t>07 May 2025</t>
        </is>
      </c>
      <c r="C89" t="n">
        <v>32.5763</v>
      </c>
      <c r="D89" t="n">
        <v>32.8987</v>
      </c>
    </row>
    <row r="90">
      <c r="A90" t="inlineStr">
        <is>
          <t>08 May 2025</t>
        </is>
      </c>
      <c r="C90" t="n">
        <v>32.6509</v>
      </c>
      <c r="D90" t="n">
        <v>32.9658</v>
      </c>
    </row>
    <row r="91">
      <c r="A91" t="inlineStr">
        <is>
          <t>09 May 2025</t>
        </is>
      </c>
      <c r="C91" t="n">
        <v>32.9445</v>
      </c>
      <c r="D91" t="n">
        <v>33.2652</v>
      </c>
    </row>
    <row r="92">
      <c r="A92" t="inlineStr">
        <is>
          <t>13 May 2025</t>
        </is>
      </c>
      <c r="C92" t="n">
        <v>33.1442</v>
      </c>
      <c r="D92" t="n">
        <v>33.4862</v>
      </c>
    </row>
    <row r="93">
      <c r="A93" t="inlineStr">
        <is>
          <t>14 May 2025</t>
        </is>
      </c>
      <c r="C93" t="n">
        <v>33.1302</v>
      </c>
      <c r="D93" t="n">
        <v>33.4573</v>
      </c>
    </row>
    <row r="94">
      <c r="A94" t="inlineStr">
        <is>
          <t>15 May 2025</t>
        </is>
      </c>
      <c r="C94" t="n">
        <v>33.2423</v>
      </c>
      <c r="D94" t="n">
        <v>33.5654</v>
      </c>
    </row>
    <row r="95">
      <c r="A95" t="inlineStr">
        <is>
          <t>16 May 2025</t>
        </is>
      </c>
      <c r="C95" t="n">
        <v>32.987</v>
      </c>
      <c r="D95" t="n">
        <v>33.3119</v>
      </c>
    </row>
    <row r="96">
      <c r="A96" t="inlineStr">
        <is>
          <t>19 May 2025</t>
        </is>
      </c>
      <c r="C96" t="n">
        <v>33.0479</v>
      </c>
      <c r="D96" t="n">
        <v>33.3731</v>
      </c>
    </row>
    <row r="97">
      <c r="A97" t="inlineStr">
        <is>
          <t>20 May 2025</t>
        </is>
      </c>
      <c r="C97" t="n">
        <v>33.0072</v>
      </c>
      <c r="D97" t="n">
        <v>33.324</v>
      </c>
    </row>
    <row r="98">
      <c r="A98" t="inlineStr">
        <is>
          <t>21 May 2025</t>
        </is>
      </c>
      <c r="C98" t="n">
        <v>32.6461</v>
      </c>
      <c r="D98" t="n">
        <v>32.9636</v>
      </c>
    </row>
    <row r="99">
      <c r="A99" t="inlineStr">
        <is>
          <t>22 May 2025</t>
        </is>
      </c>
      <c r="C99" t="n">
        <v>32.5223</v>
      </c>
      <c r="D99" t="n">
        <v>32.8374</v>
      </c>
    </row>
    <row r="100">
      <c r="A100" t="inlineStr">
        <is>
          <t>23 May 2025</t>
        </is>
      </c>
      <c r="C100" t="n">
        <v>32.6199</v>
      </c>
      <c r="D100" t="n">
        <v>32.9395</v>
      </c>
    </row>
    <row r="101">
      <c r="A101" t="inlineStr">
        <is>
          <t>26 May 2025</t>
        </is>
      </c>
      <c r="C101" t="n">
        <v>32.3485</v>
      </c>
      <c r="D101" t="n">
        <v>32.6657</v>
      </c>
    </row>
    <row r="102">
      <c r="A102" t="inlineStr">
        <is>
          <t>27 May 2025</t>
        </is>
      </c>
      <c r="C102" t="n">
        <v>32.4826</v>
      </c>
      <c r="D102" t="n">
        <v>32.8</v>
      </c>
    </row>
    <row r="103">
      <c r="A103" t="inlineStr">
        <is>
          <t>28 May 2025</t>
        </is>
      </c>
      <c r="C103" t="n">
        <v>32.5524</v>
      </c>
      <c r="D103" t="n">
        <v>32.8694</v>
      </c>
    </row>
    <row r="104">
      <c r="A104" t="inlineStr">
        <is>
          <t>29 May 2025</t>
        </is>
      </c>
      <c r="C104" t="n">
        <v>32.6495</v>
      </c>
      <c r="D104" t="n">
        <v>32.9619</v>
      </c>
    </row>
    <row r="105">
      <c r="A105" t="inlineStr">
        <is>
          <t>30 May 2025</t>
        </is>
      </c>
      <c r="C105" t="n">
        <v>32.4305</v>
      </c>
      <c r="D105" t="n">
        <v>32.7481</v>
      </c>
    </row>
    <row r="106">
      <c r="A106" t="inlineStr">
        <is>
          <t>04 Jun 2025</t>
        </is>
      </c>
      <c r="C106" t="n">
        <v>32.485</v>
      </c>
      <c r="D106" t="n">
        <v>32.8033</v>
      </c>
    </row>
    <row r="107">
      <c r="A107" t="inlineStr">
        <is>
          <t>05 Jun 2025</t>
        </is>
      </c>
      <c r="C107" t="n">
        <v>32.4102</v>
      </c>
      <c r="D107" t="n">
        <v>32.7266</v>
      </c>
    </row>
    <row r="108">
      <c r="A108" t="inlineStr">
        <is>
          <t>06 Jun 2025</t>
        </is>
      </c>
      <c r="C108" t="n">
        <v>32.4759</v>
      </c>
      <c r="D108" t="n">
        <v>32.7914</v>
      </c>
    </row>
    <row r="109">
      <c r="A109" t="inlineStr">
        <is>
          <t>09 Jun 2025</t>
        </is>
      </c>
      <c r="C109" t="n">
        <v>32.5426</v>
      </c>
      <c r="D109" t="n">
        <v>32.8705</v>
      </c>
    </row>
    <row r="110">
      <c r="A110" t="inlineStr">
        <is>
          <t>10 Jun 2025</t>
        </is>
      </c>
      <c r="C110" t="n">
        <v>32.529</v>
      </c>
      <c r="D110" t="n">
        <v>32.8577</v>
      </c>
    </row>
    <row r="111">
      <c r="A111" t="inlineStr">
        <is>
          <t>11 Jun 2025</t>
        </is>
      </c>
      <c r="C111" t="n">
        <v>32.4711</v>
      </c>
      <c r="D111" t="n">
        <v>32.7885</v>
      </c>
    </row>
    <row r="112">
      <c r="A112" t="inlineStr">
        <is>
          <t>12 Jun 2025</t>
        </is>
      </c>
      <c r="C112" t="n">
        <v>32.3328</v>
      </c>
      <c r="D112" t="n">
        <v>32.6544</v>
      </c>
    </row>
    <row r="113">
      <c r="A113" t="inlineStr">
        <is>
          <t>13 Jun 2025</t>
        </is>
      </c>
      <c r="C113" t="n">
        <v>32.2676</v>
      </c>
      <c r="D113" t="n">
        <v>32.5999</v>
      </c>
    </row>
    <row r="114">
      <c r="A114" t="inlineStr">
        <is>
          <t>16 Jun 2025</t>
        </is>
      </c>
      <c r="C114" t="n">
        <v>32.3129</v>
      </c>
      <c r="D114" t="n">
        <v>32.6299</v>
      </c>
    </row>
    <row r="115">
      <c r="A115" t="inlineStr">
        <is>
          <t>17 Jun 2025</t>
        </is>
      </c>
      <c r="C115" t="n">
        <v>32.3364</v>
      </c>
      <c r="D115" t="n">
        <v>32.6591</v>
      </c>
    </row>
    <row r="116">
      <c r="A116" t="inlineStr">
        <is>
          <t>18 Jun 2025</t>
        </is>
      </c>
      <c r="C116" t="n">
        <v>32.4353</v>
      </c>
      <c r="D116" t="n">
        <v>32.7588</v>
      </c>
    </row>
    <row r="117">
      <c r="A117" t="inlineStr">
        <is>
          <t>19 Jun 2025</t>
        </is>
      </c>
      <c r="C117" t="n">
        <v>32.6092</v>
      </c>
      <c r="D117" t="n">
        <v>32.9355</v>
      </c>
    </row>
    <row r="118">
      <c r="A118" t="inlineStr">
        <is>
          <t>20 Jun 2025</t>
        </is>
      </c>
      <c r="C118" t="n">
        <v>32.6286</v>
      </c>
      <c r="D118" t="n">
        <v>32.9472</v>
      </c>
    </row>
    <row r="119">
      <c r="A119" t="inlineStr">
        <is>
          <t>23 Jun 2025</t>
        </is>
      </c>
      <c r="C119" t="n">
        <v>32.81</v>
      </c>
      <c r="D119" t="n">
        <v>33.1316</v>
      </c>
    </row>
    <row r="120">
      <c r="A120" t="inlineStr">
        <is>
          <t>24 Jun 2025</t>
        </is>
      </c>
      <c r="C120" t="n">
        <v>32.5797</v>
      </c>
      <c r="D120" t="n">
        <v>32.912</v>
      </c>
    </row>
    <row r="121">
      <c r="A121" t="inlineStr">
        <is>
          <t>25 Jun 2025</t>
        </is>
      </c>
      <c r="C121" t="n">
        <v>32.447</v>
      </c>
      <c r="D121" t="n">
        <v>32.7685</v>
      </c>
    </row>
    <row r="122">
      <c r="A122" t="inlineStr">
        <is>
          <t>26 Jun 2025</t>
        </is>
      </c>
      <c r="C122" t="n">
        <v>32.3173</v>
      </c>
      <c r="D122" t="n">
        <v>32.6369</v>
      </c>
    </row>
    <row r="123">
      <c r="A123" t="inlineStr">
        <is>
          <t>27 Jun 2025</t>
        </is>
      </c>
      <c r="C123" t="n">
        <v>32.3856</v>
      </c>
      <c r="D123" t="n">
        <v>32.7075</v>
      </c>
    </row>
    <row r="124">
      <c r="A124" t="inlineStr">
        <is>
          <t>30 Jun 2025</t>
        </is>
      </c>
      <c r="C124" t="n">
        <v>32.3893</v>
      </c>
      <c r="D124" t="n">
        <v>32.7234</v>
      </c>
    </row>
    <row r="125">
      <c r="A125" t="inlineStr">
        <is>
          <t>01 Jul 2025</t>
        </is>
      </c>
      <c r="C125" t="n">
        <v>32.3154</v>
      </c>
      <c r="D125" t="n">
        <v>32.6331</v>
      </c>
    </row>
    <row r="126">
      <c r="A126" t="inlineStr">
        <is>
          <t>02 Jul 2025</t>
        </is>
      </c>
      <c r="C126" t="n">
        <v>32.3028</v>
      </c>
      <c r="D126" t="n">
        <v>32.6266</v>
      </c>
    </row>
    <row r="127">
      <c r="A127" t="inlineStr">
        <is>
          <t>03 Jul 2025</t>
        </is>
      </c>
      <c r="C127" t="n">
        <v>32.1946</v>
      </c>
      <c r="D127" t="n">
        <v>32.5137</v>
      </c>
    </row>
    <row r="128">
      <c r="A128" t="inlineStr">
        <is>
          <t>04 Jul 2025</t>
        </is>
      </c>
      <c r="C128" t="n">
        <v>32.2628</v>
      </c>
      <c r="D128" t="n">
        <v>32.5852</v>
      </c>
    </row>
    <row r="129">
      <c r="A129" t="inlineStr">
        <is>
          <t>07 Jul 2025</t>
        </is>
      </c>
      <c r="C129" t="n">
        <v>32.3749</v>
      </c>
      <c r="D129" t="n">
        <v>32.7021</v>
      </c>
    </row>
    <row r="130">
      <c r="A130" t="inlineStr">
        <is>
          <t>08 Jul 2025</t>
        </is>
      </c>
      <c r="C130" t="n">
        <v>32.3894</v>
      </c>
      <c r="D130" t="n">
        <v>32.7082</v>
      </c>
    </row>
    <row r="131">
      <c r="A131" t="inlineStr">
        <is>
          <t>09 Jul 2025</t>
        </is>
      </c>
      <c r="C131" t="n">
        <v>32.464</v>
      </c>
      <c r="D131" t="n">
        <v>32.7837</v>
      </c>
    </row>
    <row r="132">
      <c r="A132" t="inlineStr">
        <is>
          <t>11 Jul 2025</t>
        </is>
      </c>
      <c r="C132" t="n">
        <v>32.4399</v>
      </c>
      <c r="D132" t="n">
        <v>32.7638</v>
      </c>
    </row>
    <row r="133">
      <c r="A133" t="inlineStr">
        <is>
          <t>14 Jul 2025</t>
        </is>
      </c>
      <c r="C133" t="n">
        <v>32.2714</v>
      </c>
      <c r="D133" t="n">
        <v>32.5877</v>
      </c>
    </row>
    <row r="134">
      <c r="A134" t="inlineStr">
        <is>
          <t>15 Jul 2025</t>
        </is>
      </c>
      <c r="C134" t="n">
        <v>32.3073</v>
      </c>
      <c r="D134" t="n">
        <v>32.6371</v>
      </c>
    </row>
    <row r="135">
      <c r="A135" t="inlineStr">
        <is>
          <t>16 Jul 2025</t>
        </is>
      </c>
      <c r="C135" t="n">
        <v>32.3629</v>
      </c>
      <c r="D135" t="n">
        <v>32.6925</v>
      </c>
    </row>
    <row r="136">
      <c r="A136" t="inlineStr">
        <is>
          <t>17 Jul 2025</t>
        </is>
      </c>
      <c r="C136" t="n">
        <v>32.3305</v>
      </c>
      <c r="D136" t="n">
        <v>32.6585</v>
      </c>
    </row>
    <row r="137">
      <c r="A137" t="inlineStr">
        <is>
          <t>18 Jul 2025</t>
        </is>
      </c>
      <c r="C137" t="n">
        <v>32.2819</v>
      </c>
      <c r="D137" t="n">
        <v>32.6031</v>
      </c>
    </row>
    <row r="138">
      <c r="A138" t="inlineStr">
        <is>
          <t>21 Jul 2025</t>
        </is>
      </c>
      <c r="C138" t="n">
        <v>32.233</v>
      </c>
      <c r="D138" t="n">
        <v>32.5729</v>
      </c>
    </row>
    <row r="139">
      <c r="A139" t="inlineStr">
        <is>
          <t>22 Jul 2025</t>
        </is>
      </c>
      <c r="C139" t="n">
        <v>32.1083</v>
      </c>
      <c r="D139" t="n">
        <v>32.4361</v>
      </c>
    </row>
    <row r="140">
      <c r="A140" t="inlineStr">
        <is>
          <t>23 Jul 2025</t>
        </is>
      </c>
      <c r="C140" t="n">
        <v>32.0128</v>
      </c>
      <c r="D140" t="n">
        <v>32.3505</v>
      </c>
    </row>
    <row r="141">
      <c r="A141" t="inlineStr">
        <is>
          <t>24 Jul 2025</t>
        </is>
      </c>
      <c r="C141" t="n">
        <v>32.0163</v>
      </c>
      <c r="D141" t="n">
        <v>32.3414</v>
      </c>
    </row>
    <row r="142">
      <c r="A142" t="inlineStr">
        <is>
          <t>25 Jul 2025</t>
        </is>
      </c>
      <c r="C142" t="n">
        <v>32.1354</v>
      </c>
      <c r="D142" t="n">
        <v>32.4628</v>
      </c>
    </row>
    <row r="143">
      <c r="A143" t="inlineStr">
        <is>
          <t>29 Jul 2025</t>
        </is>
      </c>
      <c r="C143" t="n">
        <v>32.3105</v>
      </c>
      <c r="D143" t="n">
        <v>32.6386</v>
      </c>
    </row>
    <row r="144">
      <c r="A144" t="inlineStr">
        <is>
          <t>30 Jul 2025</t>
        </is>
      </c>
      <c r="C144" t="n">
        <v>32.239</v>
      </c>
      <c r="D144" t="n">
        <v>32.5723</v>
      </c>
    </row>
    <row r="145">
      <c r="A145" t="inlineStr">
        <is>
          <t>31 Jul 2025</t>
        </is>
      </c>
      <c r="C145" t="n">
        <v>32.5324</v>
      </c>
      <c r="D145" t="n">
        <v>32.8719</v>
      </c>
    </row>
    <row r="146">
      <c r="A146" t="inlineStr">
        <is>
          <t>01 Aug 2025</t>
        </is>
      </c>
      <c r="C146" t="n">
        <v>32.6271</v>
      </c>
      <c r="D146" t="n">
        <v>32.9512</v>
      </c>
    </row>
    <row r="147">
      <c r="A147" t="inlineStr">
        <is>
          <t>04 Aug 2025</t>
        </is>
      </c>
      <c r="C147" t="n">
        <v>32.3236</v>
      </c>
      <c r="D147" t="n">
        <v>32.6562</v>
      </c>
    </row>
    <row r="148">
      <c r="A148" t="inlineStr">
        <is>
          <t>05 Aug 2025</t>
        </is>
      </c>
      <c r="C148" t="n">
        <v>32.1986</v>
      </c>
      <c r="D148" t="n">
        <v>32.5249</v>
      </c>
    </row>
    <row r="149">
      <c r="A149" t="inlineStr">
        <is>
          <t>06 Aug 2025</t>
        </is>
      </c>
      <c r="C149" t="n">
        <v>32.2073</v>
      </c>
      <c r="D149" t="n">
        <v>32.5318</v>
      </c>
    </row>
    <row r="150">
      <c r="A150" t="inlineStr">
        <is>
          <t>07 Aug 2025</t>
        </is>
      </c>
      <c r="C150" t="n">
        <v>32.1662</v>
      </c>
      <c r="D150" t="n">
        <v>32.4896</v>
      </c>
    </row>
    <row r="151">
      <c r="A151" t="inlineStr">
        <is>
          <t>08 Aug 2025</t>
        </is>
      </c>
      <c r="C151" t="n">
        <v>32.1698</v>
      </c>
      <c r="D151" t="n">
        <v>32.4924</v>
      </c>
    </row>
    <row r="152">
      <c r="A152" t="inlineStr">
        <is>
          <t>13 Aug 2025</t>
        </is>
      </c>
      <c r="C152" t="n">
        <v>32.2122</v>
      </c>
      <c r="D152" t="n">
        <v>32.5311</v>
      </c>
    </row>
    <row r="153">
      <c r="A153" t="inlineStr">
        <is>
          <t>14 Aug 2025</t>
        </is>
      </c>
      <c r="C153" t="n">
        <v>32.1339</v>
      </c>
      <c r="D153" t="n">
        <v>32.4577</v>
      </c>
    </row>
    <row r="154">
      <c r="A154" t="inlineStr">
        <is>
          <t>15 Aug 2025</t>
        </is>
      </c>
      <c r="C154" t="n">
        <v>32.2863</v>
      </c>
      <c r="D154" t="n">
        <v>32.6119</v>
      </c>
    </row>
    <row r="155">
      <c r="A155" t="inlineStr">
        <is>
          <t>18 Aug 2025</t>
        </is>
      </c>
      <c r="C155" t="n">
        <v>32.2892</v>
      </c>
      <c r="D155" t="n">
        <v>32.6071</v>
      </c>
    </row>
    <row r="156">
      <c r="A156" t="inlineStr">
        <is>
          <t>19 Aug 2025</t>
        </is>
      </c>
      <c r="C156" t="n">
        <v>32.3558</v>
      </c>
      <c r="D156" t="n">
        <v>32.6856</v>
      </c>
    </row>
    <row r="157">
      <c r="A157" t="inlineStr">
        <is>
          <t>20 Aug 2025</t>
        </is>
      </c>
      <c r="C157" t="n">
        <v>32.4284</v>
      </c>
      <c r="D157" t="n">
        <v>32.7686</v>
      </c>
    </row>
    <row r="158">
      <c r="A158" t="inlineStr">
        <is>
          <t>21 Aug 2025</t>
        </is>
      </c>
      <c r="C158" t="n">
        <v>32.407</v>
      </c>
      <c r="D158" t="n">
        <v>32.7353</v>
      </c>
    </row>
    <row r="159">
      <c r="A159" t="inlineStr">
        <is>
          <t>22 Aug 2025</t>
        </is>
      </c>
      <c r="C159" t="n">
        <v>32.4941</v>
      </c>
      <c r="D159" t="n">
        <v>32.8239</v>
      </c>
    </row>
    <row r="160">
      <c r="A160" t="inlineStr">
        <is>
          <t>25 Aug 2025</t>
        </is>
      </c>
      <c r="C160" t="n">
        <v>32.2587</v>
      </c>
      <c r="D160" t="n">
        <v>32.5895</v>
      </c>
    </row>
    <row r="161">
      <c r="A161" t="inlineStr">
        <is>
          <t>26 Aug 2025</t>
        </is>
      </c>
      <c r="C161" t="n">
        <v>32.2847</v>
      </c>
      <c r="D161" t="n">
        <v>32.6084</v>
      </c>
    </row>
    <row r="162">
      <c r="A162" t="inlineStr">
        <is>
          <t>27 Aug 2025</t>
        </is>
      </c>
      <c r="C162" t="n">
        <v>32.3169</v>
      </c>
      <c r="D162" t="n">
        <v>32.6554</v>
      </c>
    </row>
    <row r="163">
      <c r="A163" t="inlineStr">
        <is>
          <t>28 Aug 2025</t>
        </is>
      </c>
      <c r="C163" t="n">
        <v>32.2389</v>
      </c>
      <c r="D163" t="n">
        <v>32.5662</v>
      </c>
    </row>
    <row r="164">
      <c r="A164" t="inlineStr">
        <is>
          <t>29 Aug 2025</t>
        </is>
      </c>
      <c r="C164" t="n">
        <v>32.1489</v>
      </c>
      <c r="D164" t="n">
        <v>32.4736</v>
      </c>
    </row>
    <row r="165">
      <c r="A165" t="inlineStr">
        <is>
          <t>01 Sep 2025</t>
        </is>
      </c>
      <c r="C165" t="n">
        <v>32.1578</v>
      </c>
      <c r="D165" t="n">
        <v>32.4975</v>
      </c>
    </row>
    <row r="166">
      <c r="A166" t="inlineStr">
        <is>
          <t>02 Sep 2025</t>
        </is>
      </c>
      <c r="C166" t="n">
        <v>32.1373</v>
      </c>
      <c r="D166" t="n">
        <v>32.4713</v>
      </c>
    </row>
    <row r="167">
      <c r="A167" t="inlineStr">
        <is>
          <t>03 Sep 2025</t>
        </is>
      </c>
      <c r="C167" t="n">
        <v>32.2185</v>
      </c>
      <c r="D167" t="n">
        <v>32.5438</v>
      </c>
    </row>
    <row r="168">
      <c r="A168" t="inlineStr">
        <is>
          <t>04 Sep 2025</t>
        </is>
      </c>
      <c r="C168" t="n">
        <v>32.1427</v>
      </c>
      <c r="D168" t="n">
        <v>32.4643</v>
      </c>
    </row>
    <row r="169">
      <c r="A169" t="inlineStr">
        <is>
          <t>05 Sep 2025</t>
        </is>
      </c>
      <c r="C169" t="n">
        <v>32.0867</v>
      </c>
      <c r="D169" t="n">
        <v>32.4153</v>
      </c>
    </row>
    <row r="170">
      <c r="A170" t="inlineStr">
        <is>
          <t>08 Sep 2025</t>
        </is>
      </c>
      <c r="C170" t="n">
        <v>31.8859</v>
      </c>
      <c r="D170" t="n">
        <v>32.2099</v>
      </c>
    </row>
    <row r="171">
      <c r="A171" t="inlineStr">
        <is>
          <t>09 Sep 2025</t>
        </is>
      </c>
      <c r="C171" t="n">
        <v>31.4962</v>
      </c>
      <c r="D171" t="n">
        <v>31.8233</v>
      </c>
    </row>
    <row r="172">
      <c r="A172" t="inlineStr">
        <is>
          <t>10 Sep 2025</t>
        </is>
      </c>
      <c r="C172" t="n">
        <v>31.6238</v>
      </c>
      <c r="D172" t="n">
        <v>31.9483</v>
      </c>
    </row>
    <row r="173">
      <c r="A173" t="inlineStr">
        <is>
          <t>11 Sep 2025</t>
        </is>
      </c>
      <c r="C173" t="n">
        <v>31.6128</v>
      </c>
      <c r="D173" t="n">
        <v>31.9498</v>
      </c>
    </row>
    <row r="174">
      <c r="A174" t="inlineStr">
        <is>
          <t>12 Sep 2025</t>
        </is>
      </c>
      <c r="C174" t="n">
        <v>31.5603</v>
      </c>
      <c r="D174" t="n">
        <v>31.8812</v>
      </c>
    </row>
    <row r="175">
      <c r="A175" t="inlineStr">
        <is>
          <t>15 Sep 2025</t>
        </is>
      </c>
      <c r="C175" t="n">
        <v>31.6426</v>
      </c>
      <c r="D175" t="n">
        <v>31.9773</v>
      </c>
    </row>
    <row r="176">
      <c r="A176" t="inlineStr">
        <is>
          <t>16 Sep 2025</t>
        </is>
      </c>
      <c r="C176" t="n">
        <v>31.6047</v>
      </c>
      <c r="D176" t="n">
        <v>31.9326</v>
      </c>
    </row>
    <row r="177">
      <c r="A177" t="inlineStr">
        <is>
          <t>17 Sep 2025</t>
        </is>
      </c>
      <c r="C177" t="n">
        <v>31.5605</v>
      </c>
      <c r="D177" t="n">
        <v>31.8957</v>
      </c>
    </row>
    <row r="178">
      <c r="A178" t="inlineStr">
        <is>
          <t>18 Sep 2025</t>
        </is>
      </c>
      <c r="C178" t="n">
        <v>31.6328</v>
      </c>
      <c r="D178" t="n">
        <v>31.9525</v>
      </c>
    </row>
    <row r="179">
      <c r="A179" t="inlineStr">
        <is>
          <t>19 Sep 2025</t>
        </is>
      </c>
      <c r="C179" t="n">
        <v>31.7316</v>
      </c>
      <c r="D179" t="n">
        <v>32.0679</v>
      </c>
    </row>
    <row r="180">
      <c r="A180" t="inlineStr">
        <is>
          <t>22 Sep 2025</t>
        </is>
      </c>
      <c r="C180" t="n">
        <v>31.6812</v>
      </c>
      <c r="D180" t="n">
        <v>32.0043</v>
      </c>
    </row>
    <row r="181">
      <c r="A181" t="inlineStr">
        <is>
          <t>23 Sep 2025</t>
        </is>
      </c>
      <c r="C181" t="n">
        <v>31.6521</v>
      </c>
      <c r="D181" t="n">
        <v>31.9739</v>
      </c>
    </row>
    <row r="182">
      <c r="A182" t="inlineStr">
        <is>
          <t>24 Sep 2025</t>
        </is>
      </c>
      <c r="C182" t="n">
        <v>31.7577</v>
      </c>
      <c r="D182" t="n">
        <v>32.0855</v>
      </c>
    </row>
    <row r="183">
      <c r="A183" t="inlineStr">
        <is>
          <t>25 Sep 2025</t>
        </is>
      </c>
      <c r="C183" t="n">
        <v>31.9795</v>
      </c>
      <c r="D183" t="n">
        <v>32.2975</v>
      </c>
    </row>
    <row r="184">
      <c r="A184" t="inlineStr">
        <is>
          <t>26 Sep 2025</t>
        </is>
      </c>
      <c r="C184" t="n">
        <v>32.069</v>
      </c>
      <c r="D184" t="n">
        <v>32.384</v>
      </c>
    </row>
    <row r="185">
      <c r="A185" t="inlineStr">
        <is>
          <t>29 Sep 2025</t>
        </is>
      </c>
      <c r="C185" t="n">
        <v>32.0763</v>
      </c>
      <c r="D185" t="n">
        <v>32.3876</v>
      </c>
    </row>
    <row r="186">
      <c r="A186" t="inlineStr">
        <is>
          <t>30 Sep 2025</t>
        </is>
      </c>
      <c r="C186" t="n">
        <v>32.137</v>
      </c>
      <c r="D186" t="n">
        <v>32.4616</v>
      </c>
    </row>
    <row r="187">
      <c r="A187" t="inlineStr">
        <is>
          <t>01 Oct 2025</t>
        </is>
      </c>
      <c r="C187" t="n">
        <v>32.2775</v>
      </c>
      <c r="D187" t="n">
        <v>32.594</v>
      </c>
    </row>
    <row r="188">
      <c r="A188" t="inlineStr">
        <is>
          <t>02 Oct 2025</t>
        </is>
      </c>
      <c r="C188" t="n">
        <v>32.2558</v>
      </c>
      <c r="D188" t="n">
        <v>32.5726</v>
      </c>
    </row>
    <row r="189">
      <c r="A189" t="inlineStr">
        <is>
          <t>03 Oct 2025</t>
        </is>
      </c>
      <c r="C189" t="n">
        <v>32.2833</v>
      </c>
      <c r="D189" t="n">
        <v>32.6137</v>
      </c>
    </row>
    <row r="190">
      <c r="A190" t="inlineStr">
        <is>
          <t>06 Oct 2025</t>
        </is>
      </c>
      <c r="C190" t="n">
        <v>32.2271</v>
      </c>
      <c r="D190" t="n">
        <v>32.5528</v>
      </c>
    </row>
    <row r="191">
      <c r="A191" t="inlineStr">
        <is>
          <t>07 Oct 2025</t>
        </is>
      </c>
      <c r="C191" t="n">
        <v>32.3235</v>
      </c>
      <c r="D191" t="n">
        <v>32.647</v>
      </c>
    </row>
    <row r="192">
      <c r="A192" t="inlineStr">
        <is>
          <t>08 Oct 2025</t>
        </is>
      </c>
      <c r="C192" t="n">
        <v>32.3277</v>
      </c>
      <c r="D192" t="n">
        <v>32.6496</v>
      </c>
    </row>
    <row r="193">
      <c r="A193" t="inlineStr">
        <is>
          <t>09 Oct 2025</t>
        </is>
      </c>
      <c r="C193" t="n">
        <v>32.4052</v>
      </c>
      <c r="D193" t="n">
        <v>32.7271</v>
      </c>
    </row>
    <row r="194">
      <c r="A194" t="inlineStr">
        <is>
          <t>10 Oct 2025</t>
        </is>
      </c>
      <c r="C194" t="n">
        <v>32.5986</v>
      </c>
      <c r="D194" t="n">
        <v>32.9205</v>
      </c>
    </row>
    <row r="195">
      <c r="A195" t="inlineStr">
        <is>
          <t>14 Oct 2025</t>
        </is>
      </c>
      <c r="C195" t="n">
        <v>32.4634</v>
      </c>
      <c r="D195" t="n">
        <v>32.7742</v>
      </c>
    </row>
    <row r="196">
      <c r="A196" t="inlineStr">
        <is>
          <t>15 Oct 2025</t>
        </is>
      </c>
      <c r="C196" t="n">
        <v>32.423</v>
      </c>
      <c r="D196" t="n">
        <v>32.7459</v>
      </c>
    </row>
    <row r="197">
      <c r="A197" t="inlineStr">
        <is>
          <t>16 Oct 2025</t>
        </is>
      </c>
      <c r="C197" t="n">
        <v>32.3674</v>
      </c>
      <c r="D197" t="n">
        <v>32.6844</v>
      </c>
    </row>
    <row r="198">
      <c r="A198" t="inlineStr">
        <is>
          <t>17 Oct 2025</t>
        </is>
      </c>
      <c r="C198" t="n">
        <v>32.4174</v>
      </c>
      <c r="D198" t="n">
        <v>32.7352</v>
      </c>
    </row>
    <row r="199">
      <c r="A199" t="inlineStr">
        <is>
          <t>20 Oct 2025</t>
        </is>
      </c>
      <c r="C199" t="n">
        <v>32.5773</v>
      </c>
      <c r="D199" t="n">
        <v>32.92</v>
      </c>
    </row>
    <row r="200">
      <c r="A200" t="inlineStr">
        <is>
          <t>21 Oct 2025</t>
        </is>
      </c>
      <c r="C200" t="n">
        <v>32.4482</v>
      </c>
      <c r="D200" t="n">
        <v>32.7827</v>
      </c>
    </row>
    <row r="201">
      <c r="A201" t="inlineStr">
        <is>
          <t>22 Oct 2025</t>
        </is>
      </c>
      <c r="C201" t="n">
        <v>32.6517</v>
      </c>
      <c r="D201" t="n">
        <v>32.9727</v>
      </c>
    </row>
    <row r="202">
      <c r="A202" t="inlineStr">
        <is>
          <t>24 Oct 2025</t>
        </is>
      </c>
      <c r="C202" t="n">
        <v>32.6275</v>
      </c>
      <c r="D202" t="n">
        <v>32.9574</v>
      </c>
    </row>
    <row r="203">
      <c r="A203" t="inlineStr">
        <is>
          <t>27 Oct 2025</t>
        </is>
      </c>
      <c r="C203" t="n">
        <v>32.5002</v>
      </c>
      <c r="D203" t="n">
        <v>32.8398</v>
      </c>
    </row>
    <row r="204">
      <c r="A204" t="inlineStr">
        <is>
          <t>28 Oct 2025</t>
        </is>
      </c>
      <c r="C204" t="n">
        <v>32.4623</v>
      </c>
      <c r="D204" t="n">
        <v>32.7891</v>
      </c>
    </row>
    <row r="205">
      <c r="A205" t="inlineStr">
        <is>
          <t>29 Oct 2025</t>
        </is>
      </c>
      <c r="C205" t="n">
        <v>32.1714</v>
      </c>
      <c r="D205" t="n">
        <v>32.4962</v>
      </c>
    </row>
    <row r="206">
      <c r="A206" t="inlineStr">
        <is>
          <t>30 Oct 2025</t>
        </is>
      </c>
      <c r="C206" t="n">
        <v>32.2493</v>
      </c>
      <c r="D206" t="n">
        <v>32.5696</v>
      </c>
    </row>
    <row r="207">
      <c r="A207" t="inlineStr">
        <is>
          <t>31 Oct 2025</t>
        </is>
      </c>
      <c r="C207" t="n">
        <v>32.1813</v>
      </c>
      <c r="D207" t="n">
        <v>32.507</v>
      </c>
    </row>
    <row r="208">
      <c r="A208" t="inlineStr">
        <is>
          <t>03 Nov 2025</t>
        </is>
      </c>
      <c r="C208" t="n">
        <v>32.2529</v>
      </c>
      <c r="D208" t="n">
        <v>32.5918</v>
      </c>
    </row>
    <row r="209">
      <c r="A209" t="inlineStr">
        <is>
          <t>04 Nov 2025</t>
        </is>
      </c>
      <c r="C209" t="n">
        <v>32.3618</v>
      </c>
      <c r="D209" t="n">
        <v>32.6888</v>
      </c>
    </row>
    <row r="210">
      <c r="A210" t="inlineStr">
        <is>
          <t>05 Nov 2025</t>
        </is>
      </c>
      <c r="C210" t="n">
        <v>32.4133</v>
      </c>
      <c r="D210" t="n">
        <v>32.7383</v>
      </c>
    </row>
    <row r="211">
      <c r="A211" t="inlineStr">
        <is>
          <t>06 Nov 2025</t>
        </is>
      </c>
      <c r="C211" t="n">
        <v>32.2853</v>
      </c>
      <c r="D211" t="n">
        <v>32.6078</v>
      </c>
    </row>
    <row r="212">
      <c r="A212" t="inlineStr">
        <is>
          <t>07 Nov 2025</t>
        </is>
      </c>
      <c r="C212" t="n">
        <v>32.2313</v>
      </c>
      <c r="D212" t="n">
        <v>32.556</v>
      </c>
    </row>
    <row r="213">
      <c r="A213" t="inlineStr">
        <is>
          <t>10 Nov 2025</t>
        </is>
      </c>
      <c r="C213" t="n">
        <v>32.1597</v>
      </c>
      <c r="D213" t="n">
        <v>32.4938</v>
      </c>
    </row>
    <row r="214">
      <c r="A214" t="inlineStr">
        <is>
          <t>11 Nov 2025</t>
        </is>
      </c>
      <c r="C214" t="n">
        <v>32.2112</v>
      </c>
      <c r="D214" t="n">
        <v>32.5485</v>
      </c>
    </row>
    <row r="215">
      <c r="A215" t="inlineStr">
        <is>
          <t>12 Nov 2025</t>
        </is>
      </c>
      <c r="C215" t="n">
        <v>32.2903</v>
      </c>
      <c r="D215" t="n">
        <v>32.618</v>
      </c>
    </row>
    <row r="216">
      <c r="A216" t="inlineStr">
        <is>
          <t>13 Nov 2025</t>
        </is>
      </c>
      <c r="C216" t="n">
        <v>32.1914</v>
      </c>
      <c r="D216" t="n">
        <v>32.511</v>
      </c>
    </row>
    <row r="217">
      <c r="A217" t="inlineStr">
        <is>
          <t>14 Nov 2025</t>
        </is>
      </c>
      <c r="C217" t="n">
        <v>32.1786</v>
      </c>
      <c r="D217" t="n">
        <v>32.5097</v>
      </c>
    </row>
    <row r="218">
      <c r="A218" t="inlineStr">
        <is>
          <t>17 Nov 2025</t>
        </is>
      </c>
      <c r="C218" t="n">
        <v>32.2555</v>
      </c>
      <c r="D218" t="n">
        <v>32.5961</v>
      </c>
    </row>
    <row r="219">
      <c r="A219" t="inlineStr">
        <is>
          <t>18 Nov 2025</t>
        </is>
      </c>
      <c r="C219" t="n">
        <v>32.3002</v>
      </c>
      <c r="D219" t="n">
        <v>32.6338</v>
      </c>
    </row>
    <row r="220">
      <c r="A220" t="inlineStr">
        <is>
          <t>19 Nov 2025</t>
        </is>
      </c>
      <c r="C220" t="n">
        <v>32.2335</v>
      </c>
      <c r="D220" t="n">
        <v>32.5729</v>
      </c>
    </row>
    <row r="221">
      <c r="A221" t="inlineStr">
        <is>
          <t>20 Nov 2025</t>
        </is>
      </c>
      <c r="C221" t="n">
        <v>32.3055</v>
      </c>
      <c r="D221" t="n">
        <v>32.6349</v>
      </c>
    </row>
    <row r="222">
      <c r="A222" t="inlineStr">
        <is>
          <t>21 Nov 2025</t>
        </is>
      </c>
      <c r="C222" t="n">
        <v>32.2864</v>
      </c>
      <c r="D222" t="n">
        <v>32.6118</v>
      </c>
    </row>
    <row r="223">
      <c r="A223" t="inlineStr">
        <is>
          <t>24 Nov 2025</t>
        </is>
      </c>
      <c r="C223" t="n">
        <v>32.302</v>
      </c>
      <c r="D223" t="n">
        <v>32.6469</v>
      </c>
    </row>
    <row r="224">
      <c r="A224" t="inlineStr">
        <is>
          <t>25 Nov 2025</t>
        </is>
      </c>
      <c r="C224" t="n">
        <v>32.2008</v>
      </c>
      <c r="D224" t="n">
        <v>32.5262</v>
      </c>
    </row>
    <row r="225">
      <c r="A225" t="inlineStr">
        <is>
          <t>26 Nov 2025</t>
        </is>
      </c>
      <c r="C225" t="n">
        <v>32.0973</v>
      </c>
      <c r="D225" t="n">
        <v>32.4223</v>
      </c>
    </row>
    <row r="226">
      <c r="A226" t="inlineStr">
        <is>
          <t>27 Nov 2025</t>
        </is>
      </c>
      <c r="C226" t="n">
        <v>32.0475</v>
      </c>
      <c r="D226" t="n">
        <v>32.3909</v>
      </c>
    </row>
    <row r="227">
      <c r="A227" t="inlineStr">
        <is>
          <t>28 Nov 2025</t>
        </is>
      </c>
      <c r="C227" t="n">
        <v>32.0383</v>
      </c>
      <c r="D227" t="n">
        <v>32.369</v>
      </c>
    </row>
    <row r="228">
      <c r="A228" t="inlineStr">
        <is>
          <t>01 Dec 2025</t>
        </is>
      </c>
      <c r="C228" t="n">
        <v>31.9035</v>
      </c>
      <c r="D228" t="n">
        <v>32.2362</v>
      </c>
    </row>
    <row r="229">
      <c r="A229" t="inlineStr">
        <is>
          <t>02 Dec 2025</t>
        </is>
      </c>
      <c r="C229" t="n">
        <v>31.8531</v>
      </c>
      <c r="D229" t="n">
        <v>32.1803</v>
      </c>
    </row>
    <row r="230">
      <c r="A230" t="inlineStr">
        <is>
          <t>03 Dec 2025</t>
        </is>
      </c>
      <c r="C230" t="n">
        <v>31.7895</v>
      </c>
      <c r="D230" t="n">
        <v>32.1214</v>
      </c>
    </row>
    <row r="231">
      <c r="A231" t="inlineStr">
        <is>
          <t>04 Dec 2025</t>
        </is>
      </c>
      <c r="C231" t="n">
        <v>31.7944</v>
      </c>
      <c r="D231" t="n">
        <v>32.1205</v>
      </c>
    </row>
    <row r="232">
      <c r="A232" t="inlineStr">
        <is>
          <t>08 Dec 2025</t>
        </is>
      </c>
      <c r="C232" t="n">
        <v>31.7055</v>
      </c>
      <c r="D232" t="n">
        <v>32.0353</v>
      </c>
    </row>
    <row r="233">
      <c r="A233" t="inlineStr">
        <is>
          <t>09 Dec 2025</t>
        </is>
      </c>
      <c r="C233" t="n">
        <v>31.7219</v>
      </c>
      <c r="D233" t="n">
        <v>32.0531</v>
      </c>
    </row>
    <row r="234">
      <c r="A234" t="inlineStr">
        <is>
          <t>11 Dec 2025</t>
        </is>
      </c>
      <c r="C234" t="n">
        <v>31.575</v>
      </c>
      <c r="D234" t="n">
        <v>31.9026</v>
      </c>
    </row>
    <row r="235">
      <c r="A235" t="inlineStr">
        <is>
          <t>12 Dec 2025</t>
        </is>
      </c>
      <c r="C235" t="n">
        <v>31.4939</v>
      </c>
      <c r="D235" t="n">
        <v>31.8205</v>
      </c>
    </row>
    <row r="236">
      <c r="A236" t="inlineStr">
        <is>
          <t>15 Dec 2025</t>
        </is>
      </c>
      <c r="C236" t="n">
        <v>31.356</v>
      </c>
      <c r="D236" t="n">
        <v>31.6881</v>
      </c>
    </row>
    <row r="237">
      <c r="A237" t="inlineStr">
        <is>
          <t>16 Dec 2025</t>
        </is>
      </c>
      <c r="C237" t="n">
        <v>31.3538</v>
      </c>
      <c r="D237" t="n">
        <v>31.6794</v>
      </c>
    </row>
    <row r="238">
      <c r="A238" t="inlineStr">
        <is>
          <t>17 Dec 2025</t>
        </is>
      </c>
      <c r="C238" t="n">
        <v>31.2971</v>
      </c>
      <c r="D238" t="n">
        <v>31.6162</v>
      </c>
    </row>
    <row r="239">
      <c r="A239" t="inlineStr">
        <is>
          <t>18 Dec 2025</t>
        </is>
      </c>
      <c r="C239" t="n">
        <v>31.3113</v>
      </c>
      <c r="D239" t="n">
        <v>31.6447</v>
      </c>
    </row>
    <row r="240">
      <c r="A240" t="inlineStr">
        <is>
          <t>19 Dec 2025</t>
        </is>
      </c>
      <c r="C240" t="n">
        <v>31.2658</v>
      </c>
      <c r="D240" t="n">
        <v>31.5909</v>
      </c>
    </row>
    <row r="241">
      <c r="A241" t="inlineStr">
        <is>
          <t>22 Dec 2025</t>
        </is>
      </c>
      <c r="C241" t="n">
        <v>31.2241</v>
      </c>
      <c r="D241" t="n">
        <v>31.537</v>
      </c>
    </row>
    <row r="242">
      <c r="A242" t="inlineStr">
        <is>
          <t>23 Dec 2025</t>
        </is>
      </c>
      <c r="C242" t="n">
        <v>30.9729</v>
      </c>
      <c r="D242" t="n">
        <v>31.3055</v>
      </c>
    </row>
    <row r="243">
      <c r="A243" t="inlineStr">
        <is>
          <t>24 Dec 2025</t>
        </is>
      </c>
      <c r="C243" t="n">
        <v>30.9215</v>
      </c>
      <c r="D243" t="n">
        <v>31.2552</v>
      </c>
    </row>
    <row r="244">
      <c r="A244" t="inlineStr">
        <is>
          <t>25 Dec 2025</t>
        </is>
      </c>
      <c r="C244" t="n">
        <v>30.9276</v>
      </c>
      <c r="D244" t="n">
        <v>31.2549</v>
      </c>
    </row>
    <row r="245">
      <c r="A245" t="inlineStr">
        <is>
          <t>26 Dec 2025</t>
        </is>
      </c>
      <c r="C245" t="n">
        <v>30.913</v>
      </c>
      <c r="D245" t="n">
        <v>31.2257</v>
      </c>
    </row>
    <row r="246">
      <c r="A246" t="inlineStr">
        <is>
          <t>29 Dec 2025</t>
        </is>
      </c>
      <c r="C246" t="n">
        <v>31.0678</v>
      </c>
      <c r="D246" t="n">
        <v>31.3932</v>
      </c>
    </row>
    <row r="247">
      <c r="A247" t="inlineStr">
        <is>
          <t>30 Dec 2025</t>
        </is>
      </c>
      <c r="C247" t="n">
        <v>31.4215</v>
      </c>
      <c r="D247" t="n">
        <v>31.7436</v>
      </c>
    </row>
    <row r="248">
      <c r="A248" t="inlineStr">
        <is>
          <t>05 Jan 2026</t>
        </is>
      </c>
      <c r="C248" t="n">
        <v>31.2596</v>
      </c>
      <c r="D248" t="n">
        <v>31.5912</v>
      </c>
    </row>
    <row r="249">
      <c r="A249" t="inlineStr">
        <is>
          <t>06 Jan 2026</t>
        </is>
      </c>
      <c r="C249" t="n">
        <v>31.0942</v>
      </c>
      <c r="D249" t="n">
        <v>31.4258</v>
      </c>
    </row>
    <row r="250">
      <c r="A250" t="inlineStr">
        <is>
          <t>07 Jan 2026</t>
        </is>
      </c>
      <c r="C250" t="n">
        <v>31.0731</v>
      </c>
      <c r="D250" t="n">
        <v>31.4036</v>
      </c>
    </row>
    <row r="251">
      <c r="A251" t="inlineStr">
        <is>
          <t>08 Jan 2026</t>
        </is>
      </c>
      <c r="C251" t="n">
        <v>31.236</v>
      </c>
      <c r="D251" t="n">
        <v>31.5595</v>
      </c>
    </row>
    <row r="252">
      <c r="A252" t="inlineStr">
        <is>
          <t>09 Jan 2026</t>
        </is>
      </c>
      <c r="C252" t="n">
        <v>31.2903</v>
      </c>
      <c r="D252" t="n">
        <v>31.6165</v>
      </c>
    </row>
    <row r="253">
      <c r="A253" t="inlineStr">
        <is>
          <t>12 Jan 2026</t>
        </is>
      </c>
      <c r="C253" t="n">
        <v>31.115</v>
      </c>
      <c r="D253" t="n">
        <v>31.4496</v>
      </c>
    </row>
    <row r="254">
      <c r="A254" t="inlineStr">
        <is>
          <t>13 Jan 2026</t>
        </is>
      </c>
      <c r="C254" t="n">
        <v>31.1775</v>
      </c>
      <c r="D254" t="n">
        <v>31.5018</v>
      </c>
    </row>
    <row r="255">
      <c r="A255" t="inlineStr">
        <is>
          <t>14 Jan 2026</t>
        </is>
      </c>
      <c r="C255" t="n">
        <v>31.3313</v>
      </c>
      <c r="D255" t="n">
        <v>31.6583</v>
      </c>
    </row>
    <row r="256">
      <c r="A256" t="inlineStr">
        <is>
          <t>15 Jan 2026</t>
        </is>
      </c>
      <c r="C256" t="n">
        <v>31.3209</v>
      </c>
      <c r="D256" t="n">
        <v>31.6419</v>
      </c>
    </row>
    <row r="257">
      <c r="A257" t="inlineStr">
        <is>
          <t>16 Jan 2026</t>
        </is>
      </c>
      <c r="C257" t="n">
        <v>31.2365</v>
      </c>
      <c r="D257" t="n">
        <v>31.5667</v>
      </c>
    </row>
    <row r="258">
      <c r="A258" t="inlineStr">
        <is>
          <t>19 Jan 2026</t>
        </is>
      </c>
      <c r="C258" t="n">
        <v>31.136</v>
      </c>
      <c r="D258" t="n">
        <v>31.4704</v>
      </c>
    </row>
    <row r="259">
      <c r="A259" t="inlineStr">
        <is>
          <t>20 Jan 2026</t>
        </is>
      </c>
      <c r="C259" t="n">
        <v>31.0338</v>
      </c>
      <c r="D259" t="n">
        <v>31.3596</v>
      </c>
    </row>
    <row r="260">
      <c r="A260" t="inlineStr">
        <is>
          <t>21 Jan 2026</t>
        </is>
      </c>
      <c r="C260" t="n">
        <v>30.8554</v>
      </c>
      <c r="D260" t="n">
        <v>31.1877</v>
      </c>
    </row>
    <row r="261">
      <c r="A261" t="inlineStr">
        <is>
          <t>22 Jan 2026</t>
        </is>
      </c>
      <c r="C261" t="n">
        <v>31.1509</v>
      </c>
      <c r="D261" t="n">
        <v>31.4701</v>
      </c>
    </row>
    <row r="262">
      <c r="A262" t="inlineStr">
        <is>
          <t>23 Jan 2026</t>
        </is>
      </c>
      <c r="C262" t="n">
        <v>30.9996</v>
      </c>
      <c r="D262" t="n">
        <v>31.3098</v>
      </c>
    </row>
    <row r="263">
      <c r="A263" t="inlineStr">
        <is>
          <t>26 Jan 2026</t>
        </is>
      </c>
      <c r="C263" t="n">
        <v>30.9042</v>
      </c>
      <c r="D263" t="n">
        <v>31.228</v>
      </c>
    </row>
    <row r="264">
      <c r="A264" t="inlineStr">
        <is>
          <t>27 Jan 2026</t>
        </is>
      </c>
      <c r="C264" t="n">
        <v>31.0109</v>
      </c>
      <c r="D264" t="n">
        <v>31.3291</v>
      </c>
    </row>
    <row r="265">
      <c r="A265" t="inlineStr">
        <is>
          <t>28 Jan 2026</t>
        </is>
      </c>
      <c r="C265" t="n">
        <v>30.7928</v>
      </c>
      <c r="D265" t="n">
        <v>31.1079</v>
      </c>
    </row>
    <row r="266">
      <c r="A266" t="inlineStr">
        <is>
          <t>29 Jan 2026</t>
        </is>
      </c>
      <c r="C266" t="n">
        <v>30.9753</v>
      </c>
      <c r="D266" t="n">
        <v>31.2876</v>
      </c>
    </row>
    <row r="267">
      <c r="A267" t="inlineStr">
        <is>
          <t>30 Jan 2026</t>
        </is>
      </c>
      <c r="C267" t="n">
        <v>31.201</v>
      </c>
      <c r="D267" t="n">
        <v>31.5106</v>
      </c>
    </row>
    <row r="268">
      <c r="A268" t="inlineStr">
        <is>
          <t>02 Feb 2026</t>
        </is>
      </c>
      <c r="C268" t="n">
        <v>31.4754</v>
      </c>
      <c r="D268" t="n">
        <v>31.7994</v>
      </c>
    </row>
    <row r="269">
      <c r="A269" t="inlineStr">
        <is>
          <t>03 Feb 2026</t>
        </is>
      </c>
      <c r="C269" t="n">
        <v>31.3508</v>
      </c>
      <c r="D269" t="n">
        <v>31.6643</v>
      </c>
    </row>
    <row r="270">
      <c r="A270" t="inlineStr">
        <is>
          <t>04 Feb 2026</t>
        </is>
      </c>
      <c r="C270" t="n">
        <v>31.4688</v>
      </c>
      <c r="D270" t="n">
        <v>31.7861</v>
      </c>
    </row>
    <row r="271">
      <c r="A271" t="inlineStr">
        <is>
          <t>05 Feb 2026</t>
        </is>
      </c>
      <c r="C271" t="n">
        <v>31.6096</v>
      </c>
      <c r="D271" t="n">
        <v>31.9231</v>
      </c>
    </row>
    <row r="272">
      <c r="A272" t="inlineStr">
        <is>
          <t>06 Feb 2026</t>
        </is>
      </c>
      <c r="C272" t="n">
        <v>31.6078</v>
      </c>
      <c r="D272" t="n">
        <v>31.9294</v>
      </c>
    </row>
    <row r="273">
      <c r="A273" t="inlineStr">
        <is>
          <t>09 Feb 2026</t>
        </is>
      </c>
      <c r="C273" t="n">
        <v>31.2113</v>
      </c>
      <c r="D273" t="n">
        <v>31.498</v>
      </c>
    </row>
    <row r="274">
      <c r="A274" t="inlineStr">
        <is>
          <t>10 Feb 2026</t>
        </is>
      </c>
      <c r="C274" t="n">
        <v>30.9841</v>
      </c>
      <c r="D274" t="n">
        <v>31.3029</v>
      </c>
    </row>
    <row r="275">
      <c r="A275" t="inlineStr">
        <is>
          <t>11 Feb 2026</t>
        </is>
      </c>
      <c r="C275" t="n">
        <v>30.9952</v>
      </c>
      <c r="D275" t="n">
        <v>31.3133</v>
      </c>
    </row>
    <row r="276">
      <c r="A276" t="inlineStr">
        <is>
          <t>12 Feb 2026</t>
        </is>
      </c>
      <c r="C276" t="n">
        <v>30.9005</v>
      </c>
      <c r="D276" t="n">
        <v>31.2175</v>
      </c>
    </row>
    <row r="277">
      <c r="A277" t="inlineStr">
        <is>
          <t>13 Feb 2026</t>
        </is>
      </c>
      <c r="C277" t="n">
        <v>30.9294</v>
      </c>
      <c r="D277" t="n">
        <v>31.2475</v>
      </c>
    </row>
    <row r="278">
      <c r="A278" t="inlineStr">
        <is>
          <t>16 Feb 2026</t>
        </is>
      </c>
      <c r="C278" t="n">
        <v>30.8765</v>
      </c>
      <c r="D278" t="n">
        <v>31.2054</v>
      </c>
    </row>
    <row r="279">
      <c r="A279" t="inlineStr">
        <is>
          <t>17 Feb 2026</t>
        </is>
      </c>
      <c r="C279" t="n">
        <v>31.0274</v>
      </c>
      <c r="D279" t="n">
        <v>31.3577</v>
      </c>
    </row>
    <row r="280">
      <c r="A280" t="inlineStr">
        <is>
          <t>18 Feb 2026</t>
        </is>
      </c>
      <c r="C280" t="n">
        <v>31.1299</v>
      </c>
      <c r="D280" t="n">
        <v>31.4493</v>
      </c>
    </row>
    <row r="281">
      <c r="A281" t="inlineStr">
        <is>
          <t>19 Feb 2026</t>
        </is>
      </c>
      <c r="C281" t="n">
        <v>31.0729</v>
      </c>
      <c r="D281" t="n">
        <v>31.3918</v>
      </c>
    </row>
    <row r="282">
      <c r="A282" t="inlineStr">
        <is>
          <t>20 Feb 2026</t>
        </is>
      </c>
      <c r="C282" t="n">
        <v>31.0311</v>
      </c>
      <c r="D282" t="n">
        <v>31.347</v>
      </c>
    </row>
    <row r="283">
      <c r="A283" t="inlineStr">
        <is>
          <t>23 Feb 2026</t>
        </is>
      </c>
      <c r="C283" t="n">
        <v>30.8647</v>
      </c>
      <c r="D283" t="n">
        <v>31.1964</v>
      </c>
    </row>
    <row r="284">
      <c r="A284" t="inlineStr">
        <is>
          <t>24 Feb 2026</t>
        </is>
      </c>
      <c r="C284" t="n">
        <v>30.8859</v>
      </c>
      <c r="D284" t="n">
        <v>31.2084</v>
      </c>
    </row>
    <row r="285">
      <c r="A285" t="inlineStr">
        <is>
          <t>25 Feb 2026</t>
        </is>
      </c>
      <c r="C285" t="n">
        <v>30.8772</v>
      </c>
      <c r="D285" t="n">
        <v>31.2024</v>
      </c>
    </row>
    <row r="286">
      <c r="A286" t="inlineStr">
        <is>
          <t>26 Feb 2026</t>
        </is>
      </c>
      <c r="C286" t="n">
        <v>30.909</v>
      </c>
      <c r="D286" t="n">
        <v>31.2325</v>
      </c>
    </row>
    <row r="287">
      <c r="A287" t="inlineStr">
        <is>
          <t>27 Feb 2026</t>
        </is>
      </c>
      <c r="C287" t="n">
        <v>30.939</v>
      </c>
      <c r="D287" t="n">
        <v>31.2575</v>
      </c>
    </row>
    <row r="288">
      <c r="A288" t="inlineStr">
        <is>
          <t>02 Mar 2026</t>
        </is>
      </c>
      <c r="C288" t="n">
        <v>31.034</v>
      </c>
      <c r="D288" t="n">
        <v>31.3848</v>
      </c>
    </row>
    <row r="289">
      <c r="A289" t="inlineStr">
        <is>
          <t>04 Mar 2026</t>
        </is>
      </c>
      <c r="C289" t="n">
        <v>31.4638</v>
      </c>
      <c r="D289" t="n">
        <v>31.7837</v>
      </c>
    </row>
    <row r="290">
      <c r="A290" t="inlineStr">
        <is>
          <t>05 Mar 2026</t>
        </is>
      </c>
      <c r="C290" t="n">
        <v>31.404</v>
      </c>
      <c r="D290" t="n">
        <v>31.7236</v>
      </c>
    </row>
    <row r="291">
      <c r="A291" t="inlineStr">
        <is>
          <t>06 Mar 2026</t>
        </is>
      </c>
      <c r="C291" t="n">
        <v>31.6112</v>
      </c>
      <c r="D291" t="n">
        <v>31.9248</v>
      </c>
    </row>
    <row r="292">
      <c r="A292" t="inlineStr">
        <is>
          <t>09 Mar 2026</t>
        </is>
      </c>
      <c r="C292" t="n">
        <v>31.9174</v>
      </c>
      <c r="D292" t="n">
        <v>32.263</v>
      </c>
    </row>
    <row r="293">
      <c r="A293" t="inlineStr">
        <is>
          <t>10 Mar 2026</t>
        </is>
      </c>
      <c r="C293" t="n">
        <v>31.579</v>
      </c>
      <c r="D293" t="n">
        <v>31.9061</v>
      </c>
    </row>
    <row r="294">
      <c r="A294" t="inlineStr">
        <is>
          <t>11 Mar 2026</t>
        </is>
      </c>
      <c r="C294" t="n">
        <v>31.4045</v>
      </c>
      <c r="D294" t="n">
        <v>31.7174</v>
      </c>
    </row>
    <row r="295">
      <c r="A295" t="inlineStr">
        <is>
          <t>12 Mar 2026</t>
        </is>
      </c>
      <c r="C295" t="n">
        <v>31.7081</v>
      </c>
      <c r="D295" t="n">
        <v>32.0161</v>
      </c>
    </row>
    <row r="296">
      <c r="A296" t="inlineStr">
        <is>
          <t>13 Mar 2026</t>
        </is>
      </c>
      <c r="C296" t="n">
        <v>32.0191</v>
      </c>
      <c r="D296" t="n">
        <v>32.3347</v>
      </c>
    </row>
    <row r="297">
      <c r="A297" t="inlineStr">
        <is>
          <t>16 Mar 2026</t>
        </is>
      </c>
      <c r="C297" t="n">
        <v>32.2958</v>
      </c>
      <c r="D297" t="n">
        <v>32.619</v>
      </c>
    </row>
  </sheetData>
  <mergeCells count="6">
    <mergeCell ref="A1:D1"/>
    <mergeCell ref="A4:A5"/>
    <mergeCell ref="D4:D5"/>
    <mergeCell ref="A3:D3"/>
    <mergeCell ref="A2:D2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1"/>
    <outlinePr summaryBelow="1" summaryRight="1"/>
    <pageSetUpPr/>
  </sheetPr>
  <dimension ref="A1:D297"/>
  <sheetViews>
    <sheetView zoomScaleNormal="100" workbookViewId="0">
      <selection activeCell="J4" sqref="J4"/>
    </sheetView>
  </sheetViews>
  <sheetFormatPr baseColWidth="8" defaultRowHeight="19.5"/>
  <cols>
    <col width="15.28515625" bestFit="1" customWidth="1" style="119" min="1" max="1"/>
    <col width="22.85546875" bestFit="1" customWidth="1" style="119" min="2" max="4"/>
    <col width="9.140625" customWidth="1" style="119" min="5" max="5"/>
    <col width="11.28515625" bestFit="1" customWidth="1" style="119" min="6" max="6"/>
    <col width="9.140625" customWidth="1" style="119" min="7" max="256"/>
    <col width="15.28515625" bestFit="1" customWidth="1" style="119" min="257" max="257"/>
    <col width="22.85546875" bestFit="1" customWidth="1" style="119" min="258" max="260"/>
    <col width="9.140625" customWidth="1" style="119" min="261" max="261"/>
    <col width="11.28515625" bestFit="1" customWidth="1" style="119" min="262" max="262"/>
    <col width="9.140625" customWidth="1" style="119" min="263" max="512"/>
    <col width="15.28515625" bestFit="1" customWidth="1" style="119" min="513" max="513"/>
    <col width="22.85546875" bestFit="1" customWidth="1" style="119" min="514" max="516"/>
    <col width="9.140625" customWidth="1" style="119" min="517" max="517"/>
    <col width="11.28515625" bestFit="1" customWidth="1" style="119" min="518" max="518"/>
    <col width="9.140625" customWidth="1" style="119" min="519" max="768"/>
    <col width="15.28515625" bestFit="1" customWidth="1" style="119" min="769" max="769"/>
    <col width="22.85546875" bestFit="1" customWidth="1" style="119" min="770" max="772"/>
    <col width="9.140625" customWidth="1" style="119" min="773" max="773"/>
    <col width="11.28515625" bestFit="1" customWidth="1" style="119" min="774" max="774"/>
    <col width="9.140625" customWidth="1" style="119" min="775" max="1024"/>
    <col width="15.28515625" bestFit="1" customWidth="1" style="119" min="1025" max="1025"/>
    <col width="22.85546875" bestFit="1" customWidth="1" style="119" min="1026" max="1028"/>
    <col width="9.140625" customWidth="1" style="119" min="1029" max="1029"/>
    <col width="11.28515625" bestFit="1" customWidth="1" style="119" min="1030" max="1030"/>
    <col width="9.140625" customWidth="1" style="119" min="1031" max="1280"/>
    <col width="15.28515625" bestFit="1" customWidth="1" style="119" min="1281" max="1281"/>
    <col width="22.85546875" bestFit="1" customWidth="1" style="119" min="1282" max="1284"/>
    <col width="9.140625" customWidth="1" style="119" min="1285" max="1285"/>
    <col width="11.28515625" bestFit="1" customWidth="1" style="119" min="1286" max="1286"/>
    <col width="9.140625" customWidth="1" style="119" min="1287" max="1536"/>
    <col width="15.28515625" bestFit="1" customWidth="1" style="119" min="1537" max="1537"/>
    <col width="22.85546875" bestFit="1" customWidth="1" style="119" min="1538" max="1540"/>
    <col width="9.140625" customWidth="1" style="119" min="1541" max="1541"/>
    <col width="11.28515625" bestFit="1" customWidth="1" style="119" min="1542" max="1542"/>
    <col width="9.140625" customWidth="1" style="119" min="1543" max="1792"/>
    <col width="15.28515625" bestFit="1" customWidth="1" style="119" min="1793" max="1793"/>
    <col width="22.85546875" bestFit="1" customWidth="1" style="119" min="1794" max="1796"/>
    <col width="9.140625" customWidth="1" style="119" min="1797" max="1797"/>
    <col width="11.28515625" bestFit="1" customWidth="1" style="119" min="1798" max="1798"/>
    <col width="9.140625" customWidth="1" style="119" min="1799" max="2048"/>
    <col width="15.28515625" bestFit="1" customWidth="1" style="119" min="2049" max="2049"/>
    <col width="22.85546875" bestFit="1" customWidth="1" style="119" min="2050" max="2052"/>
    <col width="9.140625" customWidth="1" style="119" min="2053" max="2053"/>
    <col width="11.28515625" bestFit="1" customWidth="1" style="119" min="2054" max="2054"/>
    <col width="9.140625" customWidth="1" style="119" min="2055" max="2304"/>
    <col width="15.28515625" bestFit="1" customWidth="1" style="119" min="2305" max="2305"/>
    <col width="22.85546875" bestFit="1" customWidth="1" style="119" min="2306" max="2308"/>
    <col width="9.140625" customWidth="1" style="119" min="2309" max="2309"/>
    <col width="11.28515625" bestFit="1" customWidth="1" style="119" min="2310" max="2310"/>
    <col width="9.140625" customWidth="1" style="119" min="2311" max="2560"/>
    <col width="15.28515625" bestFit="1" customWidth="1" style="119" min="2561" max="2561"/>
    <col width="22.85546875" bestFit="1" customWidth="1" style="119" min="2562" max="2564"/>
    <col width="9.140625" customWidth="1" style="119" min="2565" max="2565"/>
    <col width="11.28515625" bestFit="1" customWidth="1" style="119" min="2566" max="2566"/>
    <col width="9.140625" customWidth="1" style="119" min="2567" max="2816"/>
    <col width="15.28515625" bestFit="1" customWidth="1" style="119" min="2817" max="2817"/>
    <col width="22.85546875" bestFit="1" customWidth="1" style="119" min="2818" max="2820"/>
    <col width="9.140625" customWidth="1" style="119" min="2821" max="2821"/>
    <col width="11.28515625" bestFit="1" customWidth="1" style="119" min="2822" max="2822"/>
    <col width="9.140625" customWidth="1" style="119" min="2823" max="3072"/>
    <col width="15.28515625" bestFit="1" customWidth="1" style="119" min="3073" max="3073"/>
    <col width="22.85546875" bestFit="1" customWidth="1" style="119" min="3074" max="3076"/>
    <col width="9.140625" customWidth="1" style="119" min="3077" max="3077"/>
    <col width="11.28515625" bestFit="1" customWidth="1" style="119" min="3078" max="3078"/>
    <col width="9.140625" customWidth="1" style="119" min="3079" max="3328"/>
    <col width="15.28515625" bestFit="1" customWidth="1" style="119" min="3329" max="3329"/>
    <col width="22.85546875" bestFit="1" customWidth="1" style="119" min="3330" max="3332"/>
    <col width="9.140625" customWidth="1" style="119" min="3333" max="3333"/>
    <col width="11.28515625" bestFit="1" customWidth="1" style="119" min="3334" max="3334"/>
    <col width="9.140625" customWidth="1" style="119" min="3335" max="3584"/>
    <col width="15.28515625" bestFit="1" customWidth="1" style="119" min="3585" max="3585"/>
    <col width="22.85546875" bestFit="1" customWidth="1" style="119" min="3586" max="3588"/>
    <col width="9.140625" customWidth="1" style="119" min="3589" max="3589"/>
    <col width="11.28515625" bestFit="1" customWidth="1" style="119" min="3590" max="3590"/>
    <col width="9.140625" customWidth="1" style="119" min="3591" max="3840"/>
    <col width="15.28515625" bestFit="1" customWidth="1" style="119" min="3841" max="3841"/>
    <col width="22.85546875" bestFit="1" customWidth="1" style="119" min="3842" max="3844"/>
    <col width="9.140625" customWidth="1" style="119" min="3845" max="3845"/>
    <col width="11.28515625" bestFit="1" customWidth="1" style="119" min="3846" max="3846"/>
    <col width="9.140625" customWidth="1" style="119" min="3847" max="4096"/>
    <col width="15.28515625" bestFit="1" customWidth="1" style="119" min="4097" max="4097"/>
    <col width="22.85546875" bestFit="1" customWidth="1" style="119" min="4098" max="4100"/>
    <col width="9.140625" customWidth="1" style="119" min="4101" max="4101"/>
    <col width="11.28515625" bestFit="1" customWidth="1" style="119" min="4102" max="4102"/>
    <col width="9.140625" customWidth="1" style="119" min="4103" max="4352"/>
    <col width="15.28515625" bestFit="1" customWidth="1" style="119" min="4353" max="4353"/>
    <col width="22.85546875" bestFit="1" customWidth="1" style="119" min="4354" max="4356"/>
    <col width="9.140625" customWidth="1" style="119" min="4357" max="4357"/>
    <col width="11.28515625" bestFit="1" customWidth="1" style="119" min="4358" max="4358"/>
    <col width="9.140625" customWidth="1" style="119" min="4359" max="4608"/>
    <col width="15.28515625" bestFit="1" customWidth="1" style="119" min="4609" max="4609"/>
    <col width="22.85546875" bestFit="1" customWidth="1" style="119" min="4610" max="4612"/>
    <col width="9.140625" customWidth="1" style="119" min="4613" max="4613"/>
    <col width="11.28515625" bestFit="1" customWidth="1" style="119" min="4614" max="4614"/>
    <col width="9.140625" customWidth="1" style="119" min="4615" max="4864"/>
    <col width="15.28515625" bestFit="1" customWidth="1" style="119" min="4865" max="4865"/>
    <col width="22.85546875" bestFit="1" customWidth="1" style="119" min="4866" max="4868"/>
    <col width="9.140625" customWidth="1" style="119" min="4869" max="4869"/>
    <col width="11.28515625" bestFit="1" customWidth="1" style="119" min="4870" max="4870"/>
    <col width="9.140625" customWidth="1" style="119" min="4871" max="5120"/>
    <col width="15.28515625" bestFit="1" customWidth="1" style="119" min="5121" max="5121"/>
    <col width="22.85546875" bestFit="1" customWidth="1" style="119" min="5122" max="5124"/>
    <col width="9.140625" customWidth="1" style="119" min="5125" max="5125"/>
    <col width="11.28515625" bestFit="1" customWidth="1" style="119" min="5126" max="5126"/>
    <col width="9.140625" customWidth="1" style="119" min="5127" max="5376"/>
    <col width="15.28515625" bestFit="1" customWidth="1" style="119" min="5377" max="5377"/>
    <col width="22.85546875" bestFit="1" customWidth="1" style="119" min="5378" max="5380"/>
    <col width="9.140625" customWidth="1" style="119" min="5381" max="5381"/>
    <col width="11.28515625" bestFit="1" customWidth="1" style="119" min="5382" max="5382"/>
    <col width="9.140625" customWidth="1" style="119" min="5383" max="5632"/>
    <col width="15.28515625" bestFit="1" customWidth="1" style="119" min="5633" max="5633"/>
    <col width="22.85546875" bestFit="1" customWidth="1" style="119" min="5634" max="5636"/>
    <col width="9.140625" customWidth="1" style="119" min="5637" max="5637"/>
    <col width="11.28515625" bestFit="1" customWidth="1" style="119" min="5638" max="5638"/>
    <col width="9.140625" customWidth="1" style="119" min="5639" max="5888"/>
    <col width="15.28515625" bestFit="1" customWidth="1" style="119" min="5889" max="5889"/>
    <col width="22.85546875" bestFit="1" customWidth="1" style="119" min="5890" max="5892"/>
    <col width="9.140625" customWidth="1" style="119" min="5893" max="5893"/>
    <col width="11.28515625" bestFit="1" customWidth="1" style="119" min="5894" max="5894"/>
    <col width="9.140625" customWidth="1" style="119" min="5895" max="6144"/>
    <col width="15.28515625" bestFit="1" customWidth="1" style="119" min="6145" max="6145"/>
    <col width="22.85546875" bestFit="1" customWidth="1" style="119" min="6146" max="6148"/>
    <col width="9.140625" customWidth="1" style="119" min="6149" max="6149"/>
    <col width="11.28515625" bestFit="1" customWidth="1" style="119" min="6150" max="6150"/>
    <col width="9.140625" customWidth="1" style="119" min="6151" max="6400"/>
    <col width="15.28515625" bestFit="1" customWidth="1" style="119" min="6401" max="6401"/>
    <col width="22.85546875" bestFit="1" customWidth="1" style="119" min="6402" max="6404"/>
    <col width="9.140625" customWidth="1" style="119" min="6405" max="6405"/>
    <col width="11.28515625" bestFit="1" customWidth="1" style="119" min="6406" max="6406"/>
    <col width="9.140625" customWidth="1" style="119" min="6407" max="6656"/>
    <col width="15.28515625" bestFit="1" customWidth="1" style="119" min="6657" max="6657"/>
    <col width="22.85546875" bestFit="1" customWidth="1" style="119" min="6658" max="6660"/>
    <col width="9.140625" customWidth="1" style="119" min="6661" max="6661"/>
    <col width="11.28515625" bestFit="1" customWidth="1" style="119" min="6662" max="6662"/>
    <col width="9.140625" customWidth="1" style="119" min="6663" max="6912"/>
    <col width="15.28515625" bestFit="1" customWidth="1" style="119" min="6913" max="6913"/>
    <col width="22.85546875" bestFit="1" customWidth="1" style="119" min="6914" max="6916"/>
    <col width="9.140625" customWidth="1" style="119" min="6917" max="6917"/>
    <col width="11.28515625" bestFit="1" customWidth="1" style="119" min="6918" max="6918"/>
    <col width="9.140625" customWidth="1" style="119" min="6919" max="7168"/>
    <col width="15.28515625" bestFit="1" customWidth="1" style="119" min="7169" max="7169"/>
    <col width="22.85546875" bestFit="1" customWidth="1" style="119" min="7170" max="7172"/>
    <col width="9.140625" customWidth="1" style="119" min="7173" max="7173"/>
    <col width="11.28515625" bestFit="1" customWidth="1" style="119" min="7174" max="7174"/>
    <col width="9.140625" customWidth="1" style="119" min="7175" max="7424"/>
    <col width="15.28515625" bestFit="1" customWidth="1" style="119" min="7425" max="7425"/>
    <col width="22.85546875" bestFit="1" customWidth="1" style="119" min="7426" max="7428"/>
    <col width="9.140625" customWidth="1" style="119" min="7429" max="7429"/>
    <col width="11.28515625" bestFit="1" customWidth="1" style="119" min="7430" max="7430"/>
    <col width="9.140625" customWidth="1" style="119" min="7431" max="7680"/>
    <col width="15.28515625" bestFit="1" customWidth="1" style="119" min="7681" max="7681"/>
    <col width="22.85546875" bestFit="1" customWidth="1" style="119" min="7682" max="7684"/>
    <col width="9.140625" customWidth="1" style="119" min="7685" max="7685"/>
    <col width="11.28515625" bestFit="1" customWidth="1" style="119" min="7686" max="7686"/>
    <col width="9.140625" customWidth="1" style="119" min="7687" max="7936"/>
    <col width="15.28515625" bestFit="1" customWidth="1" style="119" min="7937" max="7937"/>
    <col width="22.85546875" bestFit="1" customWidth="1" style="119" min="7938" max="7940"/>
    <col width="9.140625" customWidth="1" style="119" min="7941" max="7941"/>
    <col width="11.28515625" bestFit="1" customWidth="1" style="119" min="7942" max="7942"/>
    <col width="9.140625" customWidth="1" style="119" min="7943" max="8192"/>
    <col width="15.28515625" bestFit="1" customWidth="1" style="119" min="8193" max="8193"/>
    <col width="22.85546875" bestFit="1" customWidth="1" style="119" min="8194" max="8196"/>
    <col width="9.140625" customWidth="1" style="119" min="8197" max="8197"/>
    <col width="11.28515625" bestFit="1" customWidth="1" style="119" min="8198" max="8198"/>
    <col width="9.140625" customWidth="1" style="119" min="8199" max="8448"/>
    <col width="15.28515625" bestFit="1" customWidth="1" style="119" min="8449" max="8449"/>
    <col width="22.85546875" bestFit="1" customWidth="1" style="119" min="8450" max="8452"/>
    <col width="9.140625" customWidth="1" style="119" min="8453" max="8453"/>
    <col width="11.28515625" bestFit="1" customWidth="1" style="119" min="8454" max="8454"/>
    <col width="9.140625" customWidth="1" style="119" min="8455" max="8704"/>
    <col width="15.28515625" bestFit="1" customWidth="1" style="119" min="8705" max="8705"/>
    <col width="22.85546875" bestFit="1" customWidth="1" style="119" min="8706" max="8708"/>
    <col width="9.140625" customWidth="1" style="119" min="8709" max="8709"/>
    <col width="11.28515625" bestFit="1" customWidth="1" style="119" min="8710" max="8710"/>
    <col width="9.140625" customWidth="1" style="119" min="8711" max="8960"/>
    <col width="15.28515625" bestFit="1" customWidth="1" style="119" min="8961" max="8961"/>
    <col width="22.85546875" bestFit="1" customWidth="1" style="119" min="8962" max="8964"/>
    <col width="9.140625" customWidth="1" style="119" min="8965" max="8965"/>
    <col width="11.28515625" bestFit="1" customWidth="1" style="119" min="8966" max="8966"/>
    <col width="9.140625" customWidth="1" style="119" min="8967" max="9216"/>
    <col width="15.28515625" bestFit="1" customWidth="1" style="119" min="9217" max="9217"/>
    <col width="22.85546875" bestFit="1" customWidth="1" style="119" min="9218" max="9220"/>
    <col width="9.140625" customWidth="1" style="119" min="9221" max="9221"/>
    <col width="11.28515625" bestFit="1" customWidth="1" style="119" min="9222" max="9222"/>
    <col width="9.140625" customWidth="1" style="119" min="9223" max="9472"/>
    <col width="15.28515625" bestFit="1" customWidth="1" style="119" min="9473" max="9473"/>
    <col width="22.85546875" bestFit="1" customWidth="1" style="119" min="9474" max="9476"/>
    <col width="9.140625" customWidth="1" style="119" min="9477" max="9477"/>
    <col width="11.28515625" bestFit="1" customWidth="1" style="119" min="9478" max="9478"/>
    <col width="9.140625" customWidth="1" style="119" min="9479" max="9728"/>
    <col width="15.28515625" bestFit="1" customWidth="1" style="119" min="9729" max="9729"/>
    <col width="22.85546875" bestFit="1" customWidth="1" style="119" min="9730" max="9732"/>
    <col width="9.140625" customWidth="1" style="119" min="9733" max="9733"/>
    <col width="11.28515625" bestFit="1" customWidth="1" style="119" min="9734" max="9734"/>
    <col width="9.140625" customWidth="1" style="119" min="9735" max="9984"/>
    <col width="15.28515625" bestFit="1" customWidth="1" style="119" min="9985" max="9985"/>
    <col width="22.85546875" bestFit="1" customWidth="1" style="119" min="9986" max="9988"/>
    <col width="9.140625" customWidth="1" style="119" min="9989" max="9989"/>
    <col width="11.28515625" bestFit="1" customWidth="1" style="119" min="9990" max="9990"/>
    <col width="9.140625" customWidth="1" style="119" min="9991" max="10240"/>
    <col width="15.28515625" bestFit="1" customWidth="1" style="119" min="10241" max="10241"/>
    <col width="22.85546875" bestFit="1" customWidth="1" style="119" min="10242" max="10244"/>
    <col width="9.140625" customWidth="1" style="119" min="10245" max="10245"/>
    <col width="11.28515625" bestFit="1" customWidth="1" style="119" min="10246" max="10246"/>
    <col width="9.140625" customWidth="1" style="119" min="10247" max="10496"/>
    <col width="15.28515625" bestFit="1" customWidth="1" style="119" min="10497" max="10497"/>
    <col width="22.85546875" bestFit="1" customWidth="1" style="119" min="10498" max="10500"/>
    <col width="9.140625" customWidth="1" style="119" min="10501" max="10501"/>
    <col width="11.28515625" bestFit="1" customWidth="1" style="119" min="10502" max="10502"/>
    <col width="9.140625" customWidth="1" style="119" min="10503" max="10752"/>
    <col width="15.28515625" bestFit="1" customWidth="1" style="119" min="10753" max="10753"/>
    <col width="22.85546875" bestFit="1" customWidth="1" style="119" min="10754" max="10756"/>
    <col width="9.140625" customWidth="1" style="119" min="10757" max="10757"/>
    <col width="11.28515625" bestFit="1" customWidth="1" style="119" min="10758" max="10758"/>
    <col width="9.140625" customWidth="1" style="119" min="10759" max="11008"/>
    <col width="15.28515625" bestFit="1" customWidth="1" style="119" min="11009" max="11009"/>
    <col width="22.85546875" bestFit="1" customWidth="1" style="119" min="11010" max="11012"/>
    <col width="9.140625" customWidth="1" style="119" min="11013" max="11013"/>
    <col width="11.28515625" bestFit="1" customWidth="1" style="119" min="11014" max="11014"/>
    <col width="9.140625" customWidth="1" style="119" min="11015" max="11264"/>
    <col width="15.28515625" bestFit="1" customWidth="1" style="119" min="11265" max="11265"/>
    <col width="22.85546875" bestFit="1" customWidth="1" style="119" min="11266" max="11268"/>
    <col width="9.140625" customWidth="1" style="119" min="11269" max="11269"/>
    <col width="11.28515625" bestFit="1" customWidth="1" style="119" min="11270" max="11270"/>
    <col width="9.140625" customWidth="1" style="119" min="11271" max="11520"/>
    <col width="15.28515625" bestFit="1" customWidth="1" style="119" min="11521" max="11521"/>
    <col width="22.85546875" bestFit="1" customWidth="1" style="119" min="11522" max="11524"/>
    <col width="9.140625" customWidth="1" style="119" min="11525" max="11525"/>
    <col width="11.28515625" bestFit="1" customWidth="1" style="119" min="11526" max="11526"/>
    <col width="9.140625" customWidth="1" style="119" min="11527" max="11776"/>
    <col width="15.28515625" bestFit="1" customWidth="1" style="119" min="11777" max="11777"/>
    <col width="22.85546875" bestFit="1" customWidth="1" style="119" min="11778" max="11780"/>
    <col width="9.140625" customWidth="1" style="119" min="11781" max="11781"/>
    <col width="11.28515625" bestFit="1" customWidth="1" style="119" min="11782" max="11782"/>
    <col width="9.140625" customWidth="1" style="119" min="11783" max="12032"/>
    <col width="15.28515625" bestFit="1" customWidth="1" style="119" min="12033" max="12033"/>
    <col width="22.85546875" bestFit="1" customWidth="1" style="119" min="12034" max="12036"/>
    <col width="9.140625" customWidth="1" style="119" min="12037" max="12037"/>
    <col width="11.28515625" bestFit="1" customWidth="1" style="119" min="12038" max="12038"/>
    <col width="9.140625" customWidth="1" style="119" min="12039" max="12288"/>
    <col width="15.28515625" bestFit="1" customWidth="1" style="119" min="12289" max="12289"/>
    <col width="22.85546875" bestFit="1" customWidth="1" style="119" min="12290" max="12292"/>
    <col width="9.140625" customWidth="1" style="119" min="12293" max="12293"/>
    <col width="11.28515625" bestFit="1" customWidth="1" style="119" min="12294" max="12294"/>
    <col width="9.140625" customWidth="1" style="119" min="12295" max="12544"/>
    <col width="15.28515625" bestFit="1" customWidth="1" style="119" min="12545" max="12545"/>
    <col width="22.85546875" bestFit="1" customWidth="1" style="119" min="12546" max="12548"/>
    <col width="9.140625" customWidth="1" style="119" min="12549" max="12549"/>
    <col width="11.28515625" bestFit="1" customWidth="1" style="119" min="12550" max="12550"/>
    <col width="9.140625" customWidth="1" style="119" min="12551" max="12800"/>
    <col width="15.28515625" bestFit="1" customWidth="1" style="119" min="12801" max="12801"/>
    <col width="22.85546875" bestFit="1" customWidth="1" style="119" min="12802" max="12804"/>
    <col width="9.140625" customWidth="1" style="119" min="12805" max="12805"/>
    <col width="11.28515625" bestFit="1" customWidth="1" style="119" min="12806" max="12806"/>
    <col width="9.140625" customWidth="1" style="119" min="12807" max="13056"/>
    <col width="15.28515625" bestFit="1" customWidth="1" style="119" min="13057" max="13057"/>
    <col width="22.85546875" bestFit="1" customWidth="1" style="119" min="13058" max="13060"/>
    <col width="9.140625" customWidth="1" style="119" min="13061" max="13061"/>
    <col width="11.28515625" bestFit="1" customWidth="1" style="119" min="13062" max="13062"/>
    <col width="9.140625" customWidth="1" style="119" min="13063" max="13312"/>
    <col width="15.28515625" bestFit="1" customWidth="1" style="119" min="13313" max="13313"/>
    <col width="22.85546875" bestFit="1" customWidth="1" style="119" min="13314" max="13316"/>
    <col width="9.140625" customWidth="1" style="119" min="13317" max="13317"/>
    <col width="11.28515625" bestFit="1" customWidth="1" style="119" min="13318" max="13318"/>
    <col width="9.140625" customWidth="1" style="119" min="13319" max="13568"/>
    <col width="15.28515625" bestFit="1" customWidth="1" style="119" min="13569" max="13569"/>
    <col width="22.85546875" bestFit="1" customWidth="1" style="119" min="13570" max="13572"/>
    <col width="9.140625" customWidth="1" style="119" min="13573" max="13573"/>
    <col width="11.28515625" bestFit="1" customWidth="1" style="119" min="13574" max="13574"/>
    <col width="9.140625" customWidth="1" style="119" min="13575" max="13824"/>
    <col width="15.28515625" bestFit="1" customWidth="1" style="119" min="13825" max="13825"/>
    <col width="22.85546875" bestFit="1" customWidth="1" style="119" min="13826" max="13828"/>
    <col width="9.140625" customWidth="1" style="119" min="13829" max="13829"/>
    <col width="11.28515625" bestFit="1" customWidth="1" style="119" min="13830" max="13830"/>
    <col width="9.140625" customWidth="1" style="119" min="13831" max="14080"/>
    <col width="15.28515625" bestFit="1" customWidth="1" style="119" min="14081" max="14081"/>
    <col width="22.85546875" bestFit="1" customWidth="1" style="119" min="14082" max="14084"/>
    <col width="9.140625" customWidth="1" style="119" min="14085" max="14085"/>
    <col width="11.28515625" bestFit="1" customWidth="1" style="119" min="14086" max="14086"/>
    <col width="9.140625" customWidth="1" style="119" min="14087" max="14336"/>
    <col width="15.28515625" bestFit="1" customWidth="1" style="119" min="14337" max="14337"/>
    <col width="22.85546875" bestFit="1" customWidth="1" style="119" min="14338" max="14340"/>
    <col width="9.140625" customWidth="1" style="119" min="14341" max="14341"/>
    <col width="11.28515625" bestFit="1" customWidth="1" style="119" min="14342" max="14342"/>
    <col width="9.140625" customWidth="1" style="119" min="14343" max="14592"/>
    <col width="15.28515625" bestFit="1" customWidth="1" style="119" min="14593" max="14593"/>
    <col width="22.85546875" bestFit="1" customWidth="1" style="119" min="14594" max="14596"/>
    <col width="9.140625" customWidth="1" style="119" min="14597" max="14597"/>
    <col width="11.28515625" bestFit="1" customWidth="1" style="119" min="14598" max="14598"/>
    <col width="9.140625" customWidth="1" style="119" min="14599" max="14848"/>
    <col width="15.28515625" bestFit="1" customWidth="1" style="119" min="14849" max="14849"/>
    <col width="22.85546875" bestFit="1" customWidth="1" style="119" min="14850" max="14852"/>
    <col width="9.140625" customWidth="1" style="119" min="14853" max="14853"/>
    <col width="11.28515625" bestFit="1" customWidth="1" style="119" min="14854" max="14854"/>
    <col width="9.140625" customWidth="1" style="119" min="14855" max="15104"/>
    <col width="15.28515625" bestFit="1" customWidth="1" style="119" min="15105" max="15105"/>
    <col width="22.85546875" bestFit="1" customWidth="1" style="119" min="15106" max="15108"/>
    <col width="9.140625" customWidth="1" style="119" min="15109" max="15109"/>
    <col width="11.28515625" bestFit="1" customWidth="1" style="119" min="15110" max="15110"/>
    <col width="9.140625" customWidth="1" style="119" min="15111" max="15360"/>
    <col width="15.28515625" bestFit="1" customWidth="1" style="119" min="15361" max="15361"/>
    <col width="22.85546875" bestFit="1" customWidth="1" style="119" min="15362" max="15364"/>
    <col width="9.140625" customWidth="1" style="119" min="15365" max="15365"/>
    <col width="11.28515625" bestFit="1" customWidth="1" style="119" min="15366" max="15366"/>
    <col width="9.140625" customWidth="1" style="119" min="15367" max="15616"/>
    <col width="15.28515625" bestFit="1" customWidth="1" style="119" min="15617" max="15617"/>
    <col width="22.85546875" bestFit="1" customWidth="1" style="119" min="15618" max="15620"/>
    <col width="9.140625" customWidth="1" style="119" min="15621" max="15621"/>
    <col width="11.28515625" bestFit="1" customWidth="1" style="119" min="15622" max="15622"/>
    <col width="9.140625" customWidth="1" style="119" min="15623" max="15872"/>
    <col width="15.28515625" bestFit="1" customWidth="1" style="119" min="15873" max="15873"/>
    <col width="22.85546875" bestFit="1" customWidth="1" style="119" min="15874" max="15876"/>
    <col width="9.140625" customWidth="1" style="119" min="15877" max="15877"/>
    <col width="11.28515625" bestFit="1" customWidth="1" style="119" min="15878" max="15878"/>
    <col width="9.140625" customWidth="1" style="119" min="15879" max="16128"/>
    <col width="15.28515625" bestFit="1" customWidth="1" style="119" min="16129" max="16129"/>
    <col width="22.85546875" bestFit="1" customWidth="1" style="119" min="16130" max="16132"/>
    <col width="9.140625" customWidth="1" style="119" min="16133" max="16133"/>
    <col width="11.28515625" bestFit="1" customWidth="1" style="119" min="16134" max="16134"/>
    <col width="9.140625" customWidth="1" style="119" min="16135" max="16384"/>
  </cols>
  <sheetData>
    <row r="1" ht="20.25" customHeight="1" s="225">
      <c r="A1" s="118" t="inlineStr">
        <is>
          <t>Exchange Rates of   EURO</t>
        </is>
      </c>
    </row>
    <row r="2" ht="20.25" customHeight="1" s="225">
      <c r="A2" s="120" t="inlineStr">
        <is>
          <t>Between 1 January 2026 and 31 December 2026</t>
        </is>
      </c>
    </row>
    <row r="3" ht="20.25" customHeight="1" s="225">
      <c r="A3" s="121" t="inlineStr">
        <is>
          <t xml:space="preserve">( BAHT / 1 EURO)   </t>
        </is>
      </c>
    </row>
    <row r="4" ht="20.25" customHeight="1" s="225">
      <c r="A4" s="171" t="inlineStr">
        <is>
          <t xml:space="preserve">Date </t>
        </is>
      </c>
      <c r="B4" s="171" t="inlineStr">
        <is>
          <t xml:space="preserve">Average Buying Rates </t>
        </is>
      </c>
      <c r="C4" s="241" t="n"/>
      <c r="D4" s="171" t="inlineStr">
        <is>
          <t>Average Selling Rates</t>
        </is>
      </c>
    </row>
    <row r="5" ht="20.25" customHeight="1" s="225">
      <c r="A5" s="242" t="n"/>
      <c r="B5" s="171" t="inlineStr">
        <is>
          <t xml:space="preserve">Sight Bill </t>
        </is>
      </c>
      <c r="C5" s="171" t="inlineStr">
        <is>
          <t xml:space="preserve">Transfer </t>
        </is>
      </c>
      <c r="D5" s="242" t="n"/>
    </row>
    <row r="6">
      <c r="A6" t="inlineStr">
        <is>
          <t>02 Jan 2025</t>
        </is>
      </c>
      <c r="C6" t="n">
        <v>35.0865</v>
      </c>
      <c r="D6" t="n">
        <v>35.7634</v>
      </c>
    </row>
    <row r="7">
      <c r="A7" t="inlineStr">
        <is>
          <t>03 Jan 2025</t>
        </is>
      </c>
      <c r="C7" t="n">
        <v>34.9936</v>
      </c>
      <c r="D7" t="n">
        <v>35.6972</v>
      </c>
    </row>
    <row r="8">
      <c r="A8" t="inlineStr">
        <is>
          <t>06 Jan 2025</t>
        </is>
      </c>
      <c r="C8" t="n">
        <v>35.3214</v>
      </c>
      <c r="D8" t="n">
        <v>35.9934</v>
      </c>
    </row>
    <row r="9">
      <c r="A9" t="inlineStr">
        <is>
          <t>07 Jan 2025</t>
        </is>
      </c>
      <c r="C9" t="n">
        <v>35.5524</v>
      </c>
      <c r="D9" t="n">
        <v>36.2567</v>
      </c>
    </row>
    <row r="10">
      <c r="A10" t="inlineStr">
        <is>
          <t>08 Jan 2025</t>
        </is>
      </c>
      <c r="C10" t="n">
        <v>35.4191</v>
      </c>
      <c r="D10" t="n">
        <v>36.1459</v>
      </c>
    </row>
    <row r="11">
      <c r="A11" t="inlineStr">
        <is>
          <t>09 Jan 2025</t>
        </is>
      </c>
      <c r="C11" t="n">
        <v>35.3779</v>
      </c>
      <c r="D11" t="n">
        <v>36.0874</v>
      </c>
    </row>
    <row r="12">
      <c r="A12" t="inlineStr">
        <is>
          <t>10 Jan 2025</t>
        </is>
      </c>
      <c r="C12" t="n">
        <v>35.2437</v>
      </c>
      <c r="D12" t="n">
        <v>35.9653</v>
      </c>
    </row>
    <row r="13">
      <c r="A13" t="inlineStr">
        <is>
          <t>13 Jan 2025</t>
        </is>
      </c>
      <c r="C13" t="n">
        <v>35.1935</v>
      </c>
      <c r="D13" t="n">
        <v>35.9164</v>
      </c>
    </row>
    <row r="14">
      <c r="A14" t="inlineStr">
        <is>
          <t>14 Jan 2025</t>
        </is>
      </c>
      <c r="C14" t="n">
        <v>35.1946</v>
      </c>
      <c r="D14" t="n">
        <v>35.8844</v>
      </c>
    </row>
    <row r="15">
      <c r="A15" t="inlineStr">
        <is>
          <t>15 Jan 2025</t>
        </is>
      </c>
      <c r="C15" t="n">
        <v>35.3947</v>
      </c>
      <c r="D15" t="n">
        <v>36.0666</v>
      </c>
    </row>
    <row r="16">
      <c r="A16" t="inlineStr">
        <is>
          <t>16 Jan 2025</t>
        </is>
      </c>
      <c r="C16" t="n">
        <v>35.2097</v>
      </c>
      <c r="D16" t="n">
        <v>35.8856</v>
      </c>
    </row>
    <row r="17">
      <c r="A17" t="inlineStr">
        <is>
          <t>17 Jan 2025</t>
        </is>
      </c>
      <c r="C17" t="n">
        <v>35.1691</v>
      </c>
      <c r="D17" t="n">
        <v>35.8205</v>
      </c>
    </row>
    <row r="18">
      <c r="A18" t="inlineStr">
        <is>
          <t>20 Jan 2025</t>
        </is>
      </c>
      <c r="C18" t="n">
        <v>35.0586</v>
      </c>
      <c r="D18" t="n">
        <v>35.7404</v>
      </c>
    </row>
    <row r="19">
      <c r="A19" t="inlineStr">
        <is>
          <t>21 Jan 2025</t>
        </is>
      </c>
      <c r="C19" t="n">
        <v>34.9998</v>
      </c>
      <c r="D19" t="n">
        <v>35.6684</v>
      </c>
    </row>
    <row r="20">
      <c r="A20" t="inlineStr">
        <is>
          <t>22 Jan 2025</t>
        </is>
      </c>
      <c r="C20" t="n">
        <v>34.9215</v>
      </c>
      <c r="D20" t="n">
        <v>35.5579</v>
      </c>
    </row>
    <row r="21">
      <c r="A21" t="inlineStr">
        <is>
          <t>23 Jan 2025</t>
        </is>
      </c>
      <c r="C21" t="n">
        <v>34.9548</v>
      </c>
      <c r="D21" t="n">
        <v>35.6231</v>
      </c>
    </row>
    <row r="22">
      <c r="A22" t="inlineStr">
        <is>
          <t>24 Jan 2025</t>
        </is>
      </c>
      <c r="C22" t="n">
        <v>34.9532</v>
      </c>
      <c r="D22" t="n">
        <v>35.6373</v>
      </c>
    </row>
    <row r="23">
      <c r="A23" t="inlineStr">
        <is>
          <t>27 Jan 2025</t>
        </is>
      </c>
      <c r="C23" t="n">
        <v>34.9063</v>
      </c>
      <c r="D23" t="n">
        <v>35.6201</v>
      </c>
    </row>
    <row r="24">
      <c r="A24" t="inlineStr">
        <is>
          <t>28 Jan 2025</t>
        </is>
      </c>
      <c r="C24" t="n">
        <v>35.0327</v>
      </c>
      <c r="D24" t="n">
        <v>35.714</v>
      </c>
    </row>
    <row r="25">
      <c r="A25" t="inlineStr">
        <is>
          <t>29 Jan 2025</t>
        </is>
      </c>
      <c r="C25" t="n">
        <v>34.8899</v>
      </c>
      <c r="D25" t="n">
        <v>35.5745</v>
      </c>
    </row>
    <row r="26">
      <c r="A26" t="inlineStr">
        <is>
          <t>30 Jan 2025</t>
        </is>
      </c>
      <c r="C26" t="n">
        <v>34.8915</v>
      </c>
      <c r="D26" t="n">
        <v>35.5482</v>
      </c>
    </row>
    <row r="27">
      <c r="A27" t="inlineStr">
        <is>
          <t>31 Jan 2025</t>
        </is>
      </c>
      <c r="C27" t="n">
        <v>34.6845</v>
      </c>
      <c r="D27" t="n">
        <v>35.3091</v>
      </c>
    </row>
    <row r="28">
      <c r="A28" t="inlineStr">
        <is>
          <t>03 Feb 2025</t>
        </is>
      </c>
      <c r="C28" t="n">
        <v>34.5314</v>
      </c>
      <c r="D28" t="n">
        <v>35.1696</v>
      </c>
    </row>
    <row r="29">
      <c r="A29" t="inlineStr">
        <is>
          <t>04 Feb 2025</t>
        </is>
      </c>
      <c r="C29" t="n">
        <v>34.5336</v>
      </c>
      <c r="D29" t="n">
        <v>35.1568</v>
      </c>
    </row>
    <row r="30">
      <c r="A30" t="inlineStr">
        <is>
          <t>05 Feb 2025</t>
        </is>
      </c>
      <c r="C30" t="n">
        <v>34.5437</v>
      </c>
      <c r="D30" t="n">
        <v>35.1891</v>
      </c>
    </row>
    <row r="31">
      <c r="A31" t="inlineStr">
        <is>
          <t>06 Feb 2025</t>
        </is>
      </c>
      <c r="C31" t="n">
        <v>34.6064</v>
      </c>
      <c r="D31" t="n">
        <v>35.2863</v>
      </c>
    </row>
    <row r="32">
      <c r="A32" t="inlineStr">
        <is>
          <t>07 Feb 2025</t>
        </is>
      </c>
      <c r="C32" t="n">
        <v>34.6764</v>
      </c>
      <c r="D32" t="n">
        <v>35.3555</v>
      </c>
    </row>
    <row r="33">
      <c r="A33" t="inlineStr">
        <is>
          <t>10 Feb 2025</t>
        </is>
      </c>
      <c r="C33" t="n">
        <v>34.5624</v>
      </c>
      <c r="D33" t="n">
        <v>35.272</v>
      </c>
    </row>
    <row r="34">
      <c r="A34" t="inlineStr">
        <is>
          <t>11 Feb 2025</t>
        </is>
      </c>
      <c r="C34" t="n">
        <v>34.7084</v>
      </c>
      <c r="D34" t="n">
        <v>35.4006</v>
      </c>
    </row>
    <row r="35">
      <c r="A35" t="inlineStr">
        <is>
          <t>13 Feb 2025</t>
        </is>
      </c>
      <c r="C35" t="n">
        <v>34.8345</v>
      </c>
      <c r="D35" t="n">
        <v>35.5485</v>
      </c>
    </row>
    <row r="36">
      <c r="A36" t="inlineStr">
        <is>
          <t>14 Feb 2025</t>
        </is>
      </c>
      <c r="C36" t="n">
        <v>34.8154</v>
      </c>
      <c r="D36" t="n">
        <v>35.5604</v>
      </c>
    </row>
    <row r="37">
      <c r="A37" t="inlineStr">
        <is>
          <t>17 Feb 2025</t>
        </is>
      </c>
      <c r="C37" t="n">
        <v>34.9938</v>
      </c>
      <c r="D37" t="n">
        <v>35.7228</v>
      </c>
    </row>
    <row r="38">
      <c r="A38" t="inlineStr">
        <is>
          <t>18 Feb 2025</t>
        </is>
      </c>
      <c r="C38" t="n">
        <v>34.9869</v>
      </c>
      <c r="D38" t="n">
        <v>35.6861</v>
      </c>
    </row>
    <row r="39">
      <c r="A39" t="inlineStr">
        <is>
          <t>19 Feb 2025</t>
        </is>
      </c>
      <c r="C39" t="n">
        <v>34.8563</v>
      </c>
      <c r="D39" t="n">
        <v>35.5285</v>
      </c>
    </row>
    <row r="40">
      <c r="A40" t="inlineStr">
        <is>
          <t>20 Feb 2025</t>
        </is>
      </c>
      <c r="C40" t="n">
        <v>34.7799</v>
      </c>
      <c r="D40" t="n">
        <v>35.4674</v>
      </c>
    </row>
    <row r="41">
      <c r="A41" t="inlineStr">
        <is>
          <t>21 Feb 2025</t>
        </is>
      </c>
      <c r="C41" t="n">
        <v>34.8639</v>
      </c>
      <c r="D41" t="n">
        <v>35.5419</v>
      </c>
    </row>
    <row r="42">
      <c r="A42" t="inlineStr">
        <is>
          <t>24 Feb 2025</t>
        </is>
      </c>
      <c r="C42" t="n">
        <v>34.8754</v>
      </c>
      <c r="D42" t="n">
        <v>35.5381</v>
      </c>
    </row>
    <row r="43">
      <c r="A43" t="inlineStr">
        <is>
          <t>25 Feb 2025</t>
        </is>
      </c>
      <c r="C43" t="n">
        <v>34.8112</v>
      </c>
      <c r="D43" t="n">
        <v>35.49</v>
      </c>
    </row>
    <row r="44">
      <c r="A44" t="inlineStr">
        <is>
          <t>26 Feb 2025</t>
        </is>
      </c>
      <c r="C44" t="n">
        <v>35.1282</v>
      </c>
      <c r="D44" t="n">
        <v>35.7899</v>
      </c>
    </row>
    <row r="45">
      <c r="A45" t="inlineStr">
        <is>
          <t>27 Feb 2025</t>
        </is>
      </c>
      <c r="C45" t="n">
        <v>35.146</v>
      </c>
      <c r="D45" t="n">
        <v>35.7855</v>
      </c>
    </row>
    <row r="46">
      <c r="A46" t="inlineStr">
        <is>
          <t>28 Feb 2025</t>
        </is>
      </c>
      <c r="C46" t="n">
        <v>35.1491</v>
      </c>
      <c r="D46" t="n">
        <v>35.8185</v>
      </c>
    </row>
    <row r="47">
      <c r="A47" t="inlineStr">
        <is>
          <t>03 Mar 2025</t>
        </is>
      </c>
      <c r="C47" t="n">
        <v>35.286</v>
      </c>
      <c r="D47" t="n">
        <v>35.9789</v>
      </c>
    </row>
    <row r="48">
      <c r="A48" t="inlineStr">
        <is>
          <t>04 Mar 2025</t>
        </is>
      </c>
      <c r="C48" t="n">
        <v>35.2192</v>
      </c>
      <c r="D48" t="n">
        <v>35.945</v>
      </c>
    </row>
    <row r="49">
      <c r="A49" t="inlineStr">
        <is>
          <t>05 Mar 2025</t>
        </is>
      </c>
      <c r="C49" t="n">
        <v>35.3584</v>
      </c>
      <c r="D49" t="n">
        <v>36.095</v>
      </c>
    </row>
    <row r="50">
      <c r="A50" t="inlineStr">
        <is>
          <t>06 Mar 2025</t>
        </is>
      </c>
      <c r="C50" t="n">
        <v>35.9425</v>
      </c>
      <c r="D50" t="n">
        <v>36.6825</v>
      </c>
    </row>
    <row r="51">
      <c r="A51" t="inlineStr">
        <is>
          <t>07 Mar 2025</t>
        </is>
      </c>
      <c r="C51" t="n">
        <v>36.0923</v>
      </c>
      <c r="D51" t="n">
        <v>36.8118</v>
      </c>
    </row>
    <row r="52">
      <c r="A52" t="inlineStr">
        <is>
          <t>10 Mar 2025</t>
        </is>
      </c>
      <c r="C52" t="n">
        <v>36.2263</v>
      </c>
      <c r="D52" t="n">
        <v>36.9608</v>
      </c>
    </row>
    <row r="53">
      <c r="A53" t="inlineStr">
        <is>
          <t>11 Mar 2025</t>
        </is>
      </c>
      <c r="C53" t="n">
        <v>36.4417</v>
      </c>
      <c r="D53" t="n">
        <v>37.1709</v>
      </c>
    </row>
    <row r="54">
      <c r="A54" t="inlineStr">
        <is>
          <t>12 Mar 2025</t>
        </is>
      </c>
      <c r="C54" t="n">
        <v>36.4236</v>
      </c>
      <c r="D54" t="n">
        <v>37.1248</v>
      </c>
    </row>
    <row r="55">
      <c r="A55" t="inlineStr">
        <is>
          <t>13 Mar 2025</t>
        </is>
      </c>
      <c r="C55" t="n">
        <v>36.4547</v>
      </c>
      <c r="D55" t="n">
        <v>37.1312</v>
      </c>
    </row>
    <row r="56">
      <c r="A56" t="inlineStr">
        <is>
          <t>14 Mar 2025</t>
        </is>
      </c>
      <c r="C56" t="n">
        <v>36.1918</v>
      </c>
      <c r="D56" t="n">
        <v>36.8895</v>
      </c>
    </row>
    <row r="57">
      <c r="A57" t="inlineStr">
        <is>
          <t>17 Mar 2025</t>
        </is>
      </c>
      <c r="C57" t="n">
        <v>36.2337</v>
      </c>
      <c r="D57" t="n">
        <v>36.9027</v>
      </c>
    </row>
    <row r="58">
      <c r="A58" t="inlineStr">
        <is>
          <t>18 Mar 2025</t>
        </is>
      </c>
      <c r="C58" t="n">
        <v>36.2866</v>
      </c>
      <c r="D58" t="n">
        <v>36.9859</v>
      </c>
    </row>
    <row r="59">
      <c r="A59" t="inlineStr">
        <is>
          <t>19 Mar 2025</t>
        </is>
      </c>
      <c r="C59" t="n">
        <v>36.4136</v>
      </c>
      <c r="D59" t="n">
        <v>37.0923</v>
      </c>
    </row>
    <row r="60">
      <c r="A60" t="inlineStr">
        <is>
          <t>20 Mar 2025</t>
        </is>
      </c>
      <c r="C60" t="n">
        <v>36.3509</v>
      </c>
      <c r="D60" t="n">
        <v>36.9972</v>
      </c>
    </row>
    <row r="61">
      <c r="A61" t="inlineStr">
        <is>
          <t>21 Mar 2025</t>
        </is>
      </c>
      <c r="C61" t="n">
        <v>36.3375</v>
      </c>
      <c r="D61" t="n">
        <v>37.0155</v>
      </c>
    </row>
    <row r="62">
      <c r="A62" t="inlineStr">
        <is>
          <t>24 Mar 2025</t>
        </is>
      </c>
      <c r="C62" t="n">
        <v>36.3841</v>
      </c>
      <c r="D62" t="n">
        <v>37.0891</v>
      </c>
    </row>
    <row r="63">
      <c r="A63" t="inlineStr">
        <is>
          <t>25 Mar 2025</t>
        </is>
      </c>
      <c r="C63" t="n">
        <v>36.4078</v>
      </c>
      <c r="D63" t="n">
        <v>37.084</v>
      </c>
    </row>
    <row r="64">
      <c r="A64" t="inlineStr">
        <is>
          <t>26 Mar 2025</t>
        </is>
      </c>
      <c r="C64" t="n">
        <v>36.2252</v>
      </c>
      <c r="D64" t="n">
        <v>36.9317</v>
      </c>
    </row>
    <row r="65">
      <c r="A65" t="inlineStr">
        <is>
          <t>27 Mar 2025</t>
        </is>
      </c>
      <c r="C65" t="n">
        <v>36.2494</v>
      </c>
      <c r="D65" t="n">
        <v>36.9238</v>
      </c>
    </row>
    <row r="66">
      <c r="A66" t="inlineStr">
        <is>
          <t>28 Mar 2025</t>
        </is>
      </c>
      <c r="C66" t="n">
        <v>36.2167</v>
      </c>
      <c r="D66" t="n">
        <v>36.8889</v>
      </c>
    </row>
    <row r="67">
      <c r="A67" t="inlineStr">
        <is>
          <t>31 Mar 2025</t>
        </is>
      </c>
      <c r="C67" t="n">
        <v>36.406</v>
      </c>
      <c r="D67" t="n">
        <v>37.0723</v>
      </c>
    </row>
    <row r="68">
      <c r="A68" t="inlineStr">
        <is>
          <t>01 Apr 2025</t>
        </is>
      </c>
      <c r="C68" t="n">
        <v>36.4711</v>
      </c>
      <c r="D68" t="n">
        <v>37.1712</v>
      </c>
    </row>
    <row r="69">
      <c r="A69" t="inlineStr">
        <is>
          <t>02 Apr 2025</t>
        </is>
      </c>
      <c r="C69" t="n">
        <v>36.565</v>
      </c>
      <c r="D69" t="n">
        <v>37.2421</v>
      </c>
    </row>
    <row r="70">
      <c r="A70" t="inlineStr">
        <is>
          <t>03 Apr 2025</t>
        </is>
      </c>
      <c r="C70" t="n">
        <v>36.9977</v>
      </c>
      <c r="D70" t="n">
        <v>37.694</v>
      </c>
    </row>
    <row r="71">
      <c r="A71" t="inlineStr">
        <is>
          <t>04 Apr 2025</t>
        </is>
      </c>
      <c r="C71" t="n">
        <v>37.066</v>
      </c>
      <c r="D71" t="n">
        <v>37.7889</v>
      </c>
    </row>
    <row r="72">
      <c r="A72" t="inlineStr">
        <is>
          <t>08 Apr 2025</t>
        </is>
      </c>
      <c r="C72" t="n">
        <v>37.4031</v>
      </c>
      <c r="D72" t="n">
        <v>38.1245</v>
      </c>
    </row>
    <row r="73">
      <c r="A73" t="inlineStr">
        <is>
          <t>09 Apr 2025</t>
        </is>
      </c>
      <c r="C73" t="n">
        <v>38.0108</v>
      </c>
      <c r="D73" t="n">
        <v>38.7519</v>
      </c>
    </row>
    <row r="74">
      <c r="A74" t="inlineStr">
        <is>
          <t>10 Apr 2025</t>
        </is>
      </c>
      <c r="C74" t="n">
        <v>37.2215</v>
      </c>
      <c r="D74" t="n">
        <v>37.9631</v>
      </c>
    </row>
    <row r="75">
      <c r="A75" t="inlineStr">
        <is>
          <t>11 Apr 2025</t>
        </is>
      </c>
      <c r="C75" t="n">
        <v>37.7495</v>
      </c>
      <c r="D75" t="n">
        <v>38.5127</v>
      </c>
    </row>
    <row r="76">
      <c r="A76" t="inlineStr">
        <is>
          <t>16 Apr 2025</t>
        </is>
      </c>
      <c r="C76" t="n">
        <v>37.4426</v>
      </c>
      <c r="D76" t="n">
        <v>38.1831</v>
      </c>
    </row>
    <row r="77">
      <c r="A77" t="inlineStr">
        <is>
          <t>17 Apr 2025</t>
        </is>
      </c>
      <c r="C77" t="n">
        <v>37.3695</v>
      </c>
      <c r="D77" t="n">
        <v>38.1184</v>
      </c>
    </row>
    <row r="78">
      <c r="A78" t="inlineStr">
        <is>
          <t>18 Apr 2025</t>
        </is>
      </c>
      <c r="C78" t="n">
        <v>37.5638</v>
      </c>
      <c r="D78" t="n">
        <v>38.2983</v>
      </c>
    </row>
    <row r="79">
      <c r="A79" t="inlineStr">
        <is>
          <t>21 Apr 2025</t>
        </is>
      </c>
      <c r="C79" t="n">
        <v>37.7442</v>
      </c>
      <c r="D79" t="n">
        <v>38.4794</v>
      </c>
    </row>
    <row r="80">
      <c r="A80" t="inlineStr">
        <is>
          <t>22 Apr 2025</t>
        </is>
      </c>
      <c r="C80" t="n">
        <v>37.7989</v>
      </c>
      <c r="D80" t="n">
        <v>38.5568</v>
      </c>
    </row>
    <row r="81">
      <c r="A81" t="inlineStr">
        <is>
          <t>23 Apr 2025</t>
        </is>
      </c>
      <c r="C81" t="n">
        <v>37.7698</v>
      </c>
      <c r="D81" t="n">
        <v>38.5226</v>
      </c>
    </row>
    <row r="82">
      <c r="A82" t="inlineStr">
        <is>
          <t>24 Apr 2025</t>
        </is>
      </c>
      <c r="C82" t="n">
        <v>37.6749</v>
      </c>
      <c r="D82" t="n">
        <v>38.4158</v>
      </c>
    </row>
    <row r="83">
      <c r="A83" t="inlineStr">
        <is>
          <t>25 Apr 2025</t>
        </is>
      </c>
      <c r="C83" t="n">
        <v>37.5772</v>
      </c>
      <c r="D83" t="n">
        <v>38.3175</v>
      </c>
    </row>
    <row r="84">
      <c r="A84" t="inlineStr">
        <is>
          <t>28 Apr 2025</t>
        </is>
      </c>
      <c r="C84" t="n">
        <v>37.8283</v>
      </c>
      <c r="D84" t="n">
        <v>38.5645</v>
      </c>
    </row>
    <row r="85">
      <c r="A85" t="inlineStr">
        <is>
          <t>29 Apr 2025</t>
        </is>
      </c>
      <c r="C85" t="n">
        <v>37.6331</v>
      </c>
      <c r="D85" t="n">
        <v>38.3358</v>
      </c>
    </row>
    <row r="86">
      <c r="A86" t="inlineStr">
        <is>
          <t>30 Apr 2025</t>
        </is>
      </c>
      <c r="C86" t="n">
        <v>37.6788</v>
      </c>
      <c r="D86" t="n">
        <v>38.3666</v>
      </c>
    </row>
    <row r="87">
      <c r="A87" t="inlineStr">
        <is>
          <t>02 May 2025</t>
        </is>
      </c>
      <c r="C87" t="n">
        <v>37.3126</v>
      </c>
      <c r="D87" t="n">
        <v>38.0337</v>
      </c>
    </row>
    <row r="88">
      <c r="A88" t="inlineStr">
        <is>
          <t>06 May 2025</t>
        </is>
      </c>
      <c r="C88" t="n">
        <v>36.8169</v>
      </c>
      <c r="D88" t="n">
        <v>37.5548</v>
      </c>
    </row>
    <row r="89">
      <c r="A89" t="inlineStr">
        <is>
          <t>07 May 2025</t>
        </is>
      </c>
      <c r="C89" t="n">
        <v>36.7558</v>
      </c>
      <c r="D89" t="n">
        <v>37.4988</v>
      </c>
    </row>
    <row r="90">
      <c r="A90" t="inlineStr">
        <is>
          <t>08 May 2025</t>
        </is>
      </c>
      <c r="C90" t="n">
        <v>36.7613</v>
      </c>
      <c r="D90" t="n">
        <v>37.4699</v>
      </c>
    </row>
    <row r="91">
      <c r="A91" t="inlineStr">
        <is>
          <t>09 May 2025</t>
        </is>
      </c>
      <c r="C91" t="n">
        <v>36.7864</v>
      </c>
      <c r="D91" t="n">
        <v>37.525</v>
      </c>
    </row>
    <row r="92">
      <c r="A92" t="inlineStr">
        <is>
          <t>13 May 2025</t>
        </is>
      </c>
      <c r="C92" t="n">
        <v>36.6369</v>
      </c>
      <c r="D92" t="n">
        <v>37.3761</v>
      </c>
    </row>
    <row r="93">
      <c r="A93" t="inlineStr">
        <is>
          <t>14 May 2025</t>
        </is>
      </c>
      <c r="C93" t="n">
        <v>36.8735</v>
      </c>
      <c r="D93" t="n">
        <v>37.6178</v>
      </c>
    </row>
    <row r="94">
      <c r="A94" t="inlineStr">
        <is>
          <t>15 May 2025</t>
        </is>
      </c>
      <c r="C94" t="n">
        <v>37.0077</v>
      </c>
      <c r="D94" t="n">
        <v>37.7515</v>
      </c>
    </row>
    <row r="95">
      <c r="A95" t="inlineStr">
        <is>
          <t>16 May 2025</t>
        </is>
      </c>
      <c r="C95" t="n">
        <v>36.752</v>
      </c>
      <c r="D95" t="n">
        <v>37.5046</v>
      </c>
    </row>
    <row r="96">
      <c r="A96" t="inlineStr">
        <is>
          <t>19 May 2025</t>
        </is>
      </c>
      <c r="C96" t="n">
        <v>36.7823</v>
      </c>
      <c r="D96" t="n">
        <v>37.5165</v>
      </c>
    </row>
    <row r="97">
      <c r="A97" t="inlineStr">
        <is>
          <t>20 May 2025</t>
        </is>
      </c>
      <c r="C97" t="n">
        <v>36.9264</v>
      </c>
      <c r="D97" t="n">
        <v>37.6368</v>
      </c>
    </row>
    <row r="98">
      <c r="A98" t="inlineStr">
        <is>
          <t>21 May 2025</t>
        </is>
      </c>
      <c r="C98" t="n">
        <v>36.7078</v>
      </c>
      <c r="D98" t="n">
        <v>37.3835</v>
      </c>
    </row>
    <row r="99">
      <c r="A99" t="inlineStr">
        <is>
          <t>22 May 2025</t>
        </is>
      </c>
      <c r="C99" t="n">
        <v>36.6801</v>
      </c>
      <c r="D99" t="n">
        <v>37.3458</v>
      </c>
    </row>
    <row r="100">
      <c r="A100" t="inlineStr">
        <is>
          <t>23 May 2025</t>
        </is>
      </c>
      <c r="C100" t="n">
        <v>36.7185</v>
      </c>
      <c r="D100" t="n">
        <v>37.3653</v>
      </c>
    </row>
    <row r="101">
      <c r="A101" t="inlineStr">
        <is>
          <t>26 May 2025</t>
        </is>
      </c>
      <c r="C101" t="n">
        <v>36.683</v>
      </c>
      <c r="D101" t="n">
        <v>37.3163</v>
      </c>
    </row>
    <row r="102">
      <c r="A102" t="inlineStr">
        <is>
          <t>27 May 2025</t>
        </is>
      </c>
      <c r="C102" t="n">
        <v>36.8164</v>
      </c>
      <c r="D102" t="n">
        <v>37.4834</v>
      </c>
    </row>
    <row r="103">
      <c r="A103" t="inlineStr">
        <is>
          <t>28 May 2025</t>
        </is>
      </c>
      <c r="C103" t="n">
        <v>36.7092</v>
      </c>
      <c r="D103" t="n">
        <v>37.3821</v>
      </c>
    </row>
    <row r="104">
      <c r="A104" t="inlineStr">
        <is>
          <t>29 May 2025</t>
        </is>
      </c>
      <c r="C104" t="n">
        <v>36.616</v>
      </c>
      <c r="D104" t="n">
        <v>37.2691</v>
      </c>
    </row>
    <row r="105">
      <c r="A105" t="inlineStr">
        <is>
          <t>30 May 2025</t>
        </is>
      </c>
      <c r="C105" t="n">
        <v>36.6894</v>
      </c>
      <c r="D105" t="n">
        <v>37.339</v>
      </c>
    </row>
    <row r="106">
      <c r="A106" t="inlineStr">
        <is>
          <t>04 Jun 2025</t>
        </is>
      </c>
      <c r="C106" t="n">
        <v>36.8228</v>
      </c>
      <c r="D106" t="n">
        <v>37.4934</v>
      </c>
    </row>
    <row r="107">
      <c r="A107" t="inlineStr">
        <is>
          <t>05 Jun 2025</t>
        </is>
      </c>
      <c r="C107" t="n">
        <v>36.8125</v>
      </c>
      <c r="D107" t="n">
        <v>37.4489</v>
      </c>
    </row>
    <row r="108">
      <c r="A108" t="inlineStr">
        <is>
          <t>06 Jun 2025</t>
        </is>
      </c>
      <c r="C108" t="n">
        <v>37.0229</v>
      </c>
      <c r="D108" t="n">
        <v>37.6813</v>
      </c>
    </row>
    <row r="109">
      <c r="A109" t="inlineStr">
        <is>
          <t>09 Jun 2025</t>
        </is>
      </c>
      <c r="C109" t="n">
        <v>36.9582</v>
      </c>
      <c r="D109" t="n">
        <v>37.6443</v>
      </c>
    </row>
    <row r="110">
      <c r="A110" t="inlineStr">
        <is>
          <t>10 Jun 2025</t>
        </is>
      </c>
      <c r="C110" t="n">
        <v>36.9544</v>
      </c>
      <c r="D110" t="n">
        <v>37.6351</v>
      </c>
    </row>
    <row r="111">
      <c r="A111" t="inlineStr">
        <is>
          <t>11 Jun 2025</t>
        </is>
      </c>
      <c r="C111" t="n">
        <v>36.9351</v>
      </c>
      <c r="D111" t="n">
        <v>37.6064</v>
      </c>
    </row>
    <row r="112">
      <c r="A112" t="inlineStr">
        <is>
          <t>12 Jun 2025</t>
        </is>
      </c>
      <c r="C112" t="n">
        <v>37.047</v>
      </c>
      <c r="D112" t="n">
        <v>37.7283</v>
      </c>
    </row>
    <row r="113">
      <c r="A113" t="inlineStr">
        <is>
          <t>13 Jun 2025</t>
        </is>
      </c>
      <c r="C113" t="n">
        <v>37.0672</v>
      </c>
      <c r="D113" t="n">
        <v>37.7823</v>
      </c>
    </row>
    <row r="114">
      <c r="A114" t="inlineStr">
        <is>
          <t>16 Jun 2025</t>
        </is>
      </c>
      <c r="C114" t="n">
        <v>37.148</v>
      </c>
      <c r="D114" t="n">
        <v>37.8335</v>
      </c>
    </row>
    <row r="115">
      <c r="A115" t="inlineStr">
        <is>
          <t>17 Jun 2025</t>
        </is>
      </c>
      <c r="C115" t="n">
        <v>37.225</v>
      </c>
      <c r="D115" t="n">
        <v>37.8976</v>
      </c>
    </row>
    <row r="116">
      <c r="A116" t="inlineStr">
        <is>
          <t>18 Jun 2025</t>
        </is>
      </c>
      <c r="C116" t="n">
        <v>37.1656</v>
      </c>
      <c r="D116" t="n">
        <v>37.8081</v>
      </c>
    </row>
    <row r="117">
      <c r="A117" t="inlineStr">
        <is>
          <t>19 Jun 2025</t>
        </is>
      </c>
      <c r="C117" t="n">
        <v>37.2635</v>
      </c>
      <c r="D117" t="n">
        <v>37.9243</v>
      </c>
    </row>
    <row r="118">
      <c r="A118" t="inlineStr">
        <is>
          <t>20 Jun 2025</t>
        </is>
      </c>
      <c r="C118" t="n">
        <v>37.3888</v>
      </c>
      <c r="D118" t="n">
        <v>38.0553</v>
      </c>
    </row>
    <row r="119">
      <c r="A119" t="inlineStr">
        <is>
          <t>23 Jun 2025</t>
        </is>
      </c>
      <c r="C119" t="n">
        <v>37.535</v>
      </c>
      <c r="D119" t="n">
        <v>38.2329</v>
      </c>
    </row>
    <row r="120">
      <c r="A120" t="inlineStr">
        <is>
          <t>24 Jun 2025</t>
        </is>
      </c>
      <c r="C120" t="n">
        <v>37.5864</v>
      </c>
      <c r="D120" t="n">
        <v>38.3113</v>
      </c>
    </row>
    <row r="121">
      <c r="A121" t="inlineStr">
        <is>
          <t>25 Jun 2025</t>
        </is>
      </c>
      <c r="C121" t="n">
        <v>37.5178</v>
      </c>
      <c r="D121" t="n">
        <v>38.214</v>
      </c>
    </row>
    <row r="122">
      <c r="A122" t="inlineStr">
        <is>
          <t>26 Jun 2025</t>
        </is>
      </c>
      <c r="C122" t="n">
        <v>37.5659</v>
      </c>
      <c r="D122" t="n">
        <v>38.2488</v>
      </c>
    </row>
    <row r="123">
      <c r="A123" t="inlineStr">
        <is>
          <t>27 Jun 2025</t>
        </is>
      </c>
      <c r="C123" t="n">
        <v>37.729</v>
      </c>
      <c r="D123" t="n">
        <v>38.4059</v>
      </c>
    </row>
    <row r="124">
      <c r="A124" t="inlineStr">
        <is>
          <t>30 Jun 2025</t>
        </is>
      </c>
      <c r="C124" t="n">
        <v>37.8018</v>
      </c>
      <c r="D124" t="n">
        <v>38.5089</v>
      </c>
    </row>
    <row r="125">
      <c r="A125" t="inlineStr">
        <is>
          <t>01 Jul 2025</t>
        </is>
      </c>
      <c r="C125" t="n">
        <v>37.9084</v>
      </c>
      <c r="D125" t="n">
        <v>38.5817</v>
      </c>
    </row>
    <row r="126">
      <c r="A126" t="inlineStr">
        <is>
          <t>02 Jul 2025</t>
        </is>
      </c>
      <c r="C126" t="n">
        <v>37.9461</v>
      </c>
      <c r="D126" t="n">
        <v>38.6174</v>
      </c>
    </row>
    <row r="127">
      <c r="A127" t="inlineStr">
        <is>
          <t>03 Jul 2025</t>
        </is>
      </c>
      <c r="C127" t="n">
        <v>37.8442</v>
      </c>
      <c r="D127" t="n">
        <v>38.4923</v>
      </c>
    </row>
    <row r="128">
      <c r="A128" t="inlineStr">
        <is>
          <t>04 Jul 2025</t>
        </is>
      </c>
      <c r="C128" t="n">
        <v>37.7857</v>
      </c>
      <c r="D128" t="n">
        <v>38.4644</v>
      </c>
    </row>
    <row r="129">
      <c r="A129" t="inlineStr">
        <is>
          <t>07 Jul 2025</t>
        </is>
      </c>
      <c r="C129" t="n">
        <v>37.9034</v>
      </c>
      <c r="D129" t="n">
        <v>38.615</v>
      </c>
    </row>
    <row r="130">
      <c r="A130" t="inlineStr">
        <is>
          <t>08 Jul 2025</t>
        </is>
      </c>
      <c r="C130" t="n">
        <v>37.8195</v>
      </c>
      <c r="D130" t="n">
        <v>38.5073</v>
      </c>
    </row>
    <row r="131">
      <c r="A131" t="inlineStr">
        <is>
          <t>09 Jul 2025</t>
        </is>
      </c>
      <c r="C131" t="n">
        <v>37.8474</v>
      </c>
      <c r="D131" t="n">
        <v>38.5073</v>
      </c>
    </row>
    <row r="132">
      <c r="A132" t="inlineStr">
        <is>
          <t>11 Jul 2025</t>
        </is>
      </c>
      <c r="C132" t="n">
        <v>37.7666</v>
      </c>
      <c r="D132" t="n">
        <v>38.4224</v>
      </c>
    </row>
    <row r="133">
      <c r="A133" t="inlineStr">
        <is>
          <t>14 Jul 2025</t>
        </is>
      </c>
      <c r="C133" t="n">
        <v>37.5446</v>
      </c>
      <c r="D133" t="n">
        <v>38.189</v>
      </c>
    </row>
    <row r="134">
      <c r="A134" t="inlineStr">
        <is>
          <t>15 Jul 2025</t>
        </is>
      </c>
      <c r="C134" t="n">
        <v>37.5572</v>
      </c>
      <c r="D134" t="n">
        <v>38.2365</v>
      </c>
    </row>
    <row r="135">
      <c r="A135" t="inlineStr">
        <is>
          <t>16 Jul 2025</t>
        </is>
      </c>
      <c r="C135" t="n">
        <v>37.4321</v>
      </c>
      <c r="D135" t="n">
        <v>38.1144</v>
      </c>
    </row>
    <row r="136">
      <c r="A136" t="inlineStr">
        <is>
          <t>17 Jul 2025</t>
        </is>
      </c>
      <c r="C136" t="n">
        <v>37.4</v>
      </c>
      <c r="D136" t="n">
        <v>38.0679</v>
      </c>
    </row>
    <row r="137">
      <c r="A137" t="inlineStr">
        <is>
          <t>18 Jul 2025</t>
        </is>
      </c>
      <c r="C137" t="n">
        <v>37.3318</v>
      </c>
      <c r="D137" t="n">
        <v>38.029</v>
      </c>
    </row>
    <row r="138">
      <c r="A138" t="inlineStr">
        <is>
          <t>21 Jul 2025</t>
        </is>
      </c>
      <c r="C138" t="n">
        <v>37.2967</v>
      </c>
      <c r="D138" t="n">
        <v>38.0178</v>
      </c>
    </row>
    <row r="139">
      <c r="A139" t="inlineStr">
        <is>
          <t>22 Jul 2025</t>
        </is>
      </c>
      <c r="C139" t="n">
        <v>37.3474</v>
      </c>
      <c r="D139" t="n">
        <v>38.0482</v>
      </c>
    </row>
    <row r="140">
      <c r="A140" t="inlineStr">
        <is>
          <t>23 Jul 2025</t>
        </is>
      </c>
      <c r="C140" t="n">
        <v>37.4088</v>
      </c>
      <c r="D140" t="n">
        <v>38.1223</v>
      </c>
    </row>
    <row r="141">
      <c r="A141" t="inlineStr">
        <is>
          <t>24 Jul 2025</t>
        </is>
      </c>
      <c r="C141" t="n">
        <v>37.5079</v>
      </c>
      <c r="D141" t="n">
        <v>38.2028</v>
      </c>
    </row>
    <row r="142">
      <c r="A142" t="inlineStr">
        <is>
          <t>25 Jul 2025</t>
        </is>
      </c>
      <c r="C142" t="n">
        <v>37.585</v>
      </c>
      <c r="D142" t="n">
        <v>38.2645</v>
      </c>
    </row>
    <row r="143">
      <c r="A143" t="inlineStr">
        <is>
          <t>29 Jul 2025</t>
        </is>
      </c>
      <c r="C143" t="n">
        <v>37.2601</v>
      </c>
      <c r="D143" t="n">
        <v>37.9517</v>
      </c>
    </row>
    <row r="144">
      <c r="A144" t="inlineStr">
        <is>
          <t>30 Jul 2025</t>
        </is>
      </c>
      <c r="C144" t="n">
        <v>37.0717</v>
      </c>
      <c r="D144" t="n">
        <v>37.795</v>
      </c>
    </row>
    <row r="145">
      <c r="A145" t="inlineStr">
        <is>
          <t>31 Jul 2025</t>
        </is>
      </c>
      <c r="C145" t="n">
        <v>36.9933</v>
      </c>
      <c r="D145" t="n">
        <v>37.7303</v>
      </c>
    </row>
    <row r="146">
      <c r="A146" t="inlineStr">
        <is>
          <t>01 Aug 2025</t>
        </is>
      </c>
      <c r="C146" t="n">
        <v>37.1015</v>
      </c>
      <c r="D146" t="n">
        <v>37.81</v>
      </c>
    </row>
    <row r="147">
      <c r="A147" t="inlineStr">
        <is>
          <t>04 Aug 2025</t>
        </is>
      </c>
      <c r="C147" t="n">
        <v>37.1936</v>
      </c>
      <c r="D147" t="n">
        <v>37.9347</v>
      </c>
    </row>
    <row r="148">
      <c r="A148" t="inlineStr">
        <is>
          <t>05 Aug 2025</t>
        </is>
      </c>
      <c r="C148" t="n">
        <v>37.0398</v>
      </c>
      <c r="D148" t="n">
        <v>37.7491</v>
      </c>
    </row>
    <row r="149">
      <c r="A149" t="inlineStr">
        <is>
          <t>06 Aug 2025</t>
        </is>
      </c>
      <c r="C149" t="n">
        <v>37.0939</v>
      </c>
      <c r="D149" t="n">
        <v>37.7812</v>
      </c>
    </row>
    <row r="150">
      <c r="A150" t="inlineStr">
        <is>
          <t>07 Aug 2025</t>
        </is>
      </c>
      <c r="C150" t="n">
        <v>37.3224</v>
      </c>
      <c r="D150" t="n">
        <v>38.0117</v>
      </c>
    </row>
    <row r="151">
      <c r="A151" t="inlineStr">
        <is>
          <t>08 Aug 2025</t>
        </is>
      </c>
      <c r="C151" t="n">
        <v>37.3219</v>
      </c>
      <c r="D151" t="n">
        <v>37.9794</v>
      </c>
    </row>
    <row r="152">
      <c r="A152" t="inlineStr">
        <is>
          <t>13 Aug 2025</t>
        </is>
      </c>
      <c r="C152" t="n">
        <v>37.4827</v>
      </c>
      <c r="D152" t="n">
        <v>38.1395</v>
      </c>
    </row>
    <row r="153">
      <c r="A153" t="inlineStr">
        <is>
          <t>14 Aug 2025</t>
        </is>
      </c>
      <c r="C153" t="n">
        <v>37.4538</v>
      </c>
      <c r="D153" t="n">
        <v>38.1455</v>
      </c>
    </row>
    <row r="154">
      <c r="A154" t="inlineStr">
        <is>
          <t>15 Aug 2025</t>
        </is>
      </c>
      <c r="C154" t="n">
        <v>37.4821</v>
      </c>
      <c r="D154" t="n">
        <v>38.1466</v>
      </c>
    </row>
    <row r="155">
      <c r="A155" t="inlineStr">
        <is>
          <t>18 Aug 2025</t>
        </is>
      </c>
      <c r="C155" t="n">
        <v>37.6651</v>
      </c>
      <c r="D155" t="n">
        <v>38.2976</v>
      </c>
    </row>
    <row r="156">
      <c r="A156" t="inlineStr">
        <is>
          <t>19 Aug 2025</t>
        </is>
      </c>
      <c r="C156" t="n">
        <v>37.577</v>
      </c>
      <c r="D156" t="n">
        <v>38.2228</v>
      </c>
    </row>
    <row r="157">
      <c r="A157" t="inlineStr">
        <is>
          <t>20 Aug 2025</t>
        </is>
      </c>
      <c r="C157" t="n">
        <v>37.5877</v>
      </c>
      <c r="D157" t="n">
        <v>38.2636</v>
      </c>
    </row>
    <row r="158">
      <c r="A158" t="inlineStr">
        <is>
          <t>21 Aug 2025</t>
        </is>
      </c>
      <c r="C158" t="n">
        <v>37.5671</v>
      </c>
      <c r="D158" t="n">
        <v>38.2494</v>
      </c>
    </row>
    <row r="159">
      <c r="A159" t="inlineStr">
        <is>
          <t>22 Aug 2025</t>
        </is>
      </c>
      <c r="C159" t="n">
        <v>37.601</v>
      </c>
      <c r="D159" t="n">
        <v>38.2499</v>
      </c>
    </row>
    <row r="160">
      <c r="A160" t="inlineStr">
        <is>
          <t>25 Aug 2025</t>
        </is>
      </c>
      <c r="C160" t="n">
        <v>37.5601</v>
      </c>
      <c r="D160" t="n">
        <v>38.2319</v>
      </c>
    </row>
    <row r="161">
      <c r="A161" t="inlineStr">
        <is>
          <t>26 Aug 2025</t>
        </is>
      </c>
      <c r="C161" t="n">
        <v>37.4008</v>
      </c>
      <c r="D161" t="n">
        <v>38.0387</v>
      </c>
    </row>
    <row r="162">
      <c r="A162" t="inlineStr">
        <is>
          <t>27 Aug 2025</t>
        </is>
      </c>
      <c r="C162" t="n">
        <v>37.4181</v>
      </c>
      <c r="D162" t="n">
        <v>38.0872</v>
      </c>
    </row>
    <row r="163">
      <c r="A163" t="inlineStr">
        <is>
          <t>28 Aug 2025</t>
        </is>
      </c>
      <c r="C163" t="n">
        <v>37.3665</v>
      </c>
      <c r="D163" t="n">
        <v>38.0324</v>
      </c>
    </row>
    <row r="164">
      <c r="A164" t="inlineStr">
        <is>
          <t>29 Aug 2025</t>
        </is>
      </c>
      <c r="C164" t="n">
        <v>37.332</v>
      </c>
      <c r="D164" t="n">
        <v>38.0007</v>
      </c>
    </row>
    <row r="165">
      <c r="A165" t="inlineStr">
        <is>
          <t>01 Sep 2025</t>
        </is>
      </c>
      <c r="C165" t="n">
        <v>37.477</v>
      </c>
      <c r="D165" t="n">
        <v>38.1573</v>
      </c>
    </row>
    <row r="166">
      <c r="A166" t="inlineStr">
        <is>
          <t>02 Sep 2025</t>
        </is>
      </c>
      <c r="C166" t="n">
        <v>37.3894</v>
      </c>
      <c r="D166" t="n">
        <v>38.1012</v>
      </c>
    </row>
    <row r="167">
      <c r="A167" t="inlineStr">
        <is>
          <t>03 Sep 2025</t>
        </is>
      </c>
      <c r="C167" t="n">
        <v>37.3303</v>
      </c>
      <c r="D167" t="n">
        <v>38.0246</v>
      </c>
    </row>
    <row r="168">
      <c r="A168" t="inlineStr">
        <is>
          <t>04 Sep 2025</t>
        </is>
      </c>
      <c r="C168" t="n">
        <v>37.3275</v>
      </c>
      <c r="D168" t="n">
        <v>37.9949</v>
      </c>
    </row>
    <row r="169">
      <c r="A169" t="inlineStr">
        <is>
          <t>05 Sep 2025</t>
        </is>
      </c>
      <c r="C169" t="n">
        <v>37.2755</v>
      </c>
      <c r="D169" t="n">
        <v>37.9481</v>
      </c>
    </row>
    <row r="170">
      <c r="A170" t="inlineStr">
        <is>
          <t>08 Sep 2025</t>
        </is>
      </c>
      <c r="C170" t="n">
        <v>37.2178</v>
      </c>
      <c r="D170" t="n">
        <v>37.8558</v>
      </c>
    </row>
    <row r="171">
      <c r="A171" t="inlineStr">
        <is>
          <t>09 Sep 2025</t>
        </is>
      </c>
      <c r="C171" t="n">
        <v>36.8935</v>
      </c>
      <c r="D171" t="n">
        <v>37.565</v>
      </c>
    </row>
    <row r="172">
      <c r="A172" t="inlineStr">
        <is>
          <t>10 Sep 2025</t>
        </is>
      </c>
      <c r="C172" t="n">
        <v>36.8639</v>
      </c>
      <c r="D172" t="n">
        <v>37.543</v>
      </c>
    </row>
    <row r="173">
      <c r="A173" t="inlineStr">
        <is>
          <t>11 Sep 2025</t>
        </is>
      </c>
      <c r="C173" t="n">
        <v>36.838</v>
      </c>
      <c r="D173" t="n">
        <v>37.528</v>
      </c>
    </row>
    <row r="174">
      <c r="A174" t="inlineStr">
        <is>
          <t>12 Sep 2025</t>
        </is>
      </c>
      <c r="C174" t="n">
        <v>36.8223</v>
      </c>
      <c r="D174" t="n">
        <v>37.4817</v>
      </c>
    </row>
    <row r="175">
      <c r="A175" t="inlineStr">
        <is>
          <t>15 Sep 2025</t>
        </is>
      </c>
      <c r="C175" t="n">
        <v>36.9042</v>
      </c>
      <c r="D175" t="n">
        <v>37.5942</v>
      </c>
    </row>
    <row r="176">
      <c r="A176" t="inlineStr">
        <is>
          <t>16 Sep 2025</t>
        </is>
      </c>
      <c r="C176" t="n">
        <v>37.0142</v>
      </c>
      <c r="D176" t="n">
        <v>37.7144</v>
      </c>
    </row>
    <row r="177">
      <c r="A177" t="inlineStr">
        <is>
          <t>17 Sep 2025</t>
        </is>
      </c>
      <c r="C177" t="n">
        <v>37.2667</v>
      </c>
      <c r="D177" t="n">
        <v>37.9583</v>
      </c>
    </row>
    <row r="178">
      <c r="A178" t="inlineStr">
        <is>
          <t>18 Sep 2025</t>
        </is>
      </c>
      <c r="C178" t="n">
        <v>37.2762</v>
      </c>
      <c r="D178" t="n">
        <v>37.9369</v>
      </c>
    </row>
    <row r="179">
      <c r="A179" t="inlineStr">
        <is>
          <t>19 Sep 2025</t>
        </is>
      </c>
      <c r="C179" t="n">
        <v>37.2104</v>
      </c>
      <c r="D179" t="n">
        <v>37.9042</v>
      </c>
    </row>
    <row r="180">
      <c r="A180" t="inlineStr">
        <is>
          <t>22 Sep 2025</t>
        </is>
      </c>
      <c r="C180" t="n">
        <v>36.9876</v>
      </c>
      <c r="D180" t="n">
        <v>37.7147</v>
      </c>
    </row>
    <row r="181">
      <c r="A181" t="inlineStr">
        <is>
          <t>23 Sep 2025</t>
        </is>
      </c>
      <c r="C181" t="n">
        <v>37.1741</v>
      </c>
      <c r="D181" t="n">
        <v>37.8684</v>
      </c>
    </row>
    <row r="182">
      <c r="A182" t="inlineStr">
        <is>
          <t>24 Sep 2025</t>
        </is>
      </c>
      <c r="C182" t="n">
        <v>37.3133</v>
      </c>
      <c r="D182" t="n">
        <v>37.9921</v>
      </c>
    </row>
    <row r="183">
      <c r="A183" t="inlineStr">
        <is>
          <t>25 Sep 2025</t>
        </is>
      </c>
      <c r="C183" t="n">
        <v>37.4119</v>
      </c>
      <c r="D183" t="n">
        <v>38.0689</v>
      </c>
    </row>
    <row r="184">
      <c r="A184" t="inlineStr">
        <is>
          <t>26 Sep 2025</t>
        </is>
      </c>
      <c r="C184" t="n">
        <v>37.2567</v>
      </c>
      <c r="D184" t="n">
        <v>37.8866</v>
      </c>
    </row>
    <row r="185">
      <c r="A185" t="inlineStr">
        <is>
          <t>29 Sep 2025</t>
        </is>
      </c>
      <c r="C185" t="n">
        <v>37.4214</v>
      </c>
      <c r="D185" t="n">
        <v>38.0173</v>
      </c>
    </row>
    <row r="186">
      <c r="A186" t="inlineStr">
        <is>
          <t>30 Sep 2025</t>
        </is>
      </c>
      <c r="C186" t="n">
        <v>37.5285</v>
      </c>
      <c r="D186" t="n">
        <v>38.1547</v>
      </c>
    </row>
    <row r="187">
      <c r="A187" t="inlineStr">
        <is>
          <t>01 Oct 2025</t>
        </is>
      </c>
      <c r="C187" t="n">
        <v>37.7545</v>
      </c>
      <c r="D187" t="n">
        <v>38.397</v>
      </c>
    </row>
    <row r="188">
      <c r="A188" t="inlineStr">
        <is>
          <t>02 Oct 2025</t>
        </is>
      </c>
      <c r="C188" t="n">
        <v>37.7332</v>
      </c>
      <c r="D188" t="n">
        <v>38.3444</v>
      </c>
    </row>
    <row r="189">
      <c r="A189" t="inlineStr">
        <is>
          <t>03 Oct 2025</t>
        </is>
      </c>
      <c r="C189" t="n">
        <v>37.6553</v>
      </c>
      <c r="D189" t="n">
        <v>38.2997</v>
      </c>
    </row>
    <row r="190">
      <c r="A190" t="inlineStr">
        <is>
          <t>06 Oct 2025</t>
        </is>
      </c>
      <c r="C190" t="n">
        <v>37.614</v>
      </c>
      <c r="D190" t="n">
        <v>38.286</v>
      </c>
    </row>
    <row r="191">
      <c r="A191" t="inlineStr">
        <is>
          <t>07 Oct 2025</t>
        </is>
      </c>
      <c r="C191" t="n">
        <v>37.6772</v>
      </c>
      <c r="D191" t="n">
        <v>38.3425</v>
      </c>
    </row>
    <row r="192">
      <c r="A192" t="inlineStr">
        <is>
          <t>08 Oct 2025</t>
        </is>
      </c>
      <c r="C192" t="n">
        <v>37.451</v>
      </c>
      <c r="D192" t="n">
        <v>38.1266</v>
      </c>
    </row>
    <row r="193">
      <c r="A193" t="inlineStr">
        <is>
          <t>09 Oct 2025</t>
        </is>
      </c>
      <c r="C193" t="n">
        <v>37.5213</v>
      </c>
      <c r="D193" t="n">
        <v>38.1628</v>
      </c>
    </row>
    <row r="194">
      <c r="A194" t="inlineStr">
        <is>
          <t>10 Oct 2025</t>
        </is>
      </c>
      <c r="C194" t="n">
        <v>37.5464</v>
      </c>
      <c r="D194" t="n">
        <v>38.2009</v>
      </c>
    </row>
    <row r="195">
      <c r="A195" t="inlineStr">
        <is>
          <t>14 Oct 2025</t>
        </is>
      </c>
      <c r="C195" t="n">
        <v>37.4818</v>
      </c>
      <c r="D195" t="n">
        <v>38.1025</v>
      </c>
    </row>
    <row r="196">
      <c r="A196" t="inlineStr">
        <is>
          <t>15 Oct 2025</t>
        </is>
      </c>
      <c r="C196" t="n">
        <v>37.5276</v>
      </c>
      <c r="D196" t="n">
        <v>38.1687</v>
      </c>
    </row>
    <row r="197">
      <c r="A197" t="inlineStr">
        <is>
          <t>16 Oct 2025</t>
        </is>
      </c>
      <c r="C197" t="n">
        <v>37.543</v>
      </c>
      <c r="D197" t="n">
        <v>38.2051</v>
      </c>
    </row>
    <row r="198">
      <c r="A198" t="inlineStr">
        <is>
          <t>17 Oct 2025</t>
        </is>
      </c>
      <c r="C198" t="n">
        <v>37.7498</v>
      </c>
      <c r="D198" t="n">
        <v>38.4247</v>
      </c>
    </row>
    <row r="199">
      <c r="A199" t="inlineStr">
        <is>
          <t>20 Oct 2025</t>
        </is>
      </c>
      <c r="C199" t="n">
        <v>37.8433</v>
      </c>
      <c r="D199" t="n">
        <v>38.5464</v>
      </c>
    </row>
    <row r="200">
      <c r="A200" t="inlineStr">
        <is>
          <t>21 Oct 2025</t>
        </is>
      </c>
      <c r="C200" t="n">
        <v>37.5848</v>
      </c>
      <c r="D200" t="n">
        <v>38.3218</v>
      </c>
    </row>
    <row r="201">
      <c r="A201" t="inlineStr">
        <is>
          <t>22 Oct 2025</t>
        </is>
      </c>
      <c r="C201" t="n">
        <v>37.7273</v>
      </c>
      <c r="D201" t="n">
        <v>38.4304</v>
      </c>
    </row>
    <row r="202">
      <c r="A202" t="inlineStr">
        <is>
          <t>24 Oct 2025</t>
        </is>
      </c>
      <c r="C202" t="n">
        <v>37.7148</v>
      </c>
      <c r="D202" t="n">
        <v>38.414</v>
      </c>
    </row>
    <row r="203">
      <c r="A203" t="inlineStr">
        <is>
          <t>27 Oct 2025</t>
        </is>
      </c>
      <c r="C203" t="n">
        <v>37.6135</v>
      </c>
      <c r="D203" t="n">
        <v>38.3426</v>
      </c>
    </row>
    <row r="204">
      <c r="A204" t="inlineStr">
        <is>
          <t>28 Oct 2025</t>
        </is>
      </c>
      <c r="C204" t="n">
        <v>37.647</v>
      </c>
      <c r="D204" t="n">
        <v>38.3466</v>
      </c>
    </row>
    <row r="205">
      <c r="A205" t="inlineStr">
        <is>
          <t>29 Oct 2025</t>
        </is>
      </c>
      <c r="C205" t="n">
        <v>37.3063</v>
      </c>
      <c r="D205" t="n">
        <v>37.9915</v>
      </c>
    </row>
    <row r="206">
      <c r="A206" t="inlineStr">
        <is>
          <t>30 Oct 2025</t>
        </is>
      </c>
      <c r="C206" t="n">
        <v>37.2987</v>
      </c>
      <c r="D206" t="n">
        <v>37.9534</v>
      </c>
    </row>
    <row r="207">
      <c r="A207" t="inlineStr">
        <is>
          <t>31 Oct 2025</t>
        </is>
      </c>
      <c r="C207" t="n">
        <v>37.1153</v>
      </c>
      <c r="D207" t="n">
        <v>37.7587</v>
      </c>
    </row>
    <row r="208">
      <c r="A208" t="inlineStr">
        <is>
          <t>03 Nov 2025</t>
        </is>
      </c>
      <c r="C208" t="n">
        <v>36.9963</v>
      </c>
      <c r="D208" t="n">
        <v>37.6733</v>
      </c>
    </row>
    <row r="209">
      <c r="A209" t="inlineStr">
        <is>
          <t>04 Nov 2025</t>
        </is>
      </c>
      <c r="C209" t="n">
        <v>37.1168</v>
      </c>
      <c r="D209" t="n">
        <v>37.7767</v>
      </c>
    </row>
    <row r="210">
      <c r="A210" t="inlineStr">
        <is>
          <t>05 Nov 2025</t>
        </is>
      </c>
      <c r="C210" t="n">
        <v>37.0789</v>
      </c>
      <c r="D210" t="n">
        <v>37.7187</v>
      </c>
    </row>
    <row r="211">
      <c r="A211" t="inlineStr">
        <is>
          <t>06 Nov 2025</t>
        </is>
      </c>
      <c r="C211" t="n">
        <v>36.9789</v>
      </c>
      <c r="D211" t="n">
        <v>37.636</v>
      </c>
    </row>
    <row r="212">
      <c r="A212" t="inlineStr">
        <is>
          <t>07 Nov 2025</t>
        </is>
      </c>
      <c r="C212" t="n">
        <v>36.9966</v>
      </c>
      <c r="D212" t="n">
        <v>37.6535</v>
      </c>
    </row>
    <row r="213">
      <c r="A213" t="inlineStr">
        <is>
          <t>10 Nov 2025</t>
        </is>
      </c>
      <c r="C213" t="n">
        <v>37.0394</v>
      </c>
      <c r="D213" t="n">
        <v>37.7029</v>
      </c>
    </row>
    <row r="214">
      <c r="A214" t="inlineStr">
        <is>
          <t>11 Nov 2025</t>
        </is>
      </c>
      <c r="C214" t="n">
        <v>37.0545</v>
      </c>
      <c r="D214" t="n">
        <v>37.7527</v>
      </c>
    </row>
    <row r="215">
      <c r="A215" t="inlineStr">
        <is>
          <t>12 Nov 2025</t>
        </is>
      </c>
      <c r="C215" t="n">
        <v>37.2466</v>
      </c>
      <c r="D215" t="n">
        <v>37.9235</v>
      </c>
    </row>
    <row r="216">
      <c r="A216" t="inlineStr">
        <is>
          <t>13 Nov 2025</t>
        </is>
      </c>
      <c r="C216" t="n">
        <v>37.1535</v>
      </c>
      <c r="D216" t="n">
        <v>37.7994</v>
      </c>
    </row>
    <row r="217">
      <c r="A217" t="inlineStr">
        <is>
          <t>14 Nov 2025</t>
        </is>
      </c>
      <c r="C217" t="n">
        <v>37.2862</v>
      </c>
      <c r="D217" t="n">
        <v>37.9549</v>
      </c>
    </row>
    <row r="218">
      <c r="A218" t="inlineStr">
        <is>
          <t>17 Nov 2025</t>
        </is>
      </c>
      <c r="C218" t="n">
        <v>37.2738</v>
      </c>
      <c r="D218" t="n">
        <v>37.9681</v>
      </c>
    </row>
    <row r="219">
      <c r="A219" t="inlineStr">
        <is>
          <t>18 Nov 2025</t>
        </is>
      </c>
      <c r="C219" t="n">
        <v>37.2745</v>
      </c>
      <c r="D219" t="n">
        <v>37.9562</v>
      </c>
    </row>
    <row r="220">
      <c r="A220" t="inlineStr">
        <is>
          <t>19 Nov 2025</t>
        </is>
      </c>
      <c r="C220" t="n">
        <v>37.1873</v>
      </c>
      <c r="D220" t="n">
        <v>37.8706</v>
      </c>
    </row>
    <row r="221">
      <c r="A221" t="inlineStr">
        <is>
          <t>20 Nov 2025</t>
        </is>
      </c>
      <c r="C221" t="n">
        <v>37.072</v>
      </c>
      <c r="D221" t="n">
        <v>37.7527</v>
      </c>
    </row>
    <row r="222">
      <c r="A222" t="inlineStr">
        <is>
          <t>21 Nov 2025</t>
        </is>
      </c>
      <c r="C222" t="n">
        <v>37.0878</v>
      </c>
      <c r="D222" t="n">
        <v>37.7341</v>
      </c>
    </row>
    <row r="223">
      <c r="A223" t="inlineStr">
        <is>
          <t>24 Nov 2025</t>
        </is>
      </c>
      <c r="C223" t="n">
        <v>37.0077</v>
      </c>
      <c r="D223" t="n">
        <v>37.6876</v>
      </c>
    </row>
    <row r="224">
      <c r="A224" t="inlineStr">
        <is>
          <t>25 Nov 2025</t>
        </is>
      </c>
      <c r="C224" t="n">
        <v>36.9319</v>
      </c>
      <c r="D224" t="n">
        <v>37.6178</v>
      </c>
    </row>
    <row r="225">
      <c r="A225" t="inlineStr">
        <is>
          <t>26 Nov 2025</t>
        </is>
      </c>
      <c r="C225" t="n">
        <v>37.0045</v>
      </c>
      <c r="D225" t="n">
        <v>37.6746</v>
      </c>
    </row>
    <row r="226">
      <c r="A226" t="inlineStr">
        <is>
          <t>27 Nov 2025</t>
        </is>
      </c>
      <c r="C226" t="n">
        <v>37.0112</v>
      </c>
      <c r="D226" t="n">
        <v>37.7156</v>
      </c>
    </row>
    <row r="227">
      <c r="A227" t="inlineStr">
        <is>
          <t>28 Nov 2025</t>
        </is>
      </c>
      <c r="C227" t="n">
        <v>36.968</v>
      </c>
      <c r="D227" t="n">
        <v>37.6698</v>
      </c>
    </row>
    <row r="228">
      <c r="A228" t="inlineStr">
        <is>
          <t>01 Dec 2025</t>
        </is>
      </c>
      <c r="C228" t="n">
        <v>36.8235</v>
      </c>
      <c r="D228" t="n">
        <v>37.5482</v>
      </c>
    </row>
    <row r="229">
      <c r="A229" t="inlineStr">
        <is>
          <t>02 Dec 2025</t>
        </is>
      </c>
      <c r="C229" t="n">
        <v>36.7881</v>
      </c>
      <c r="D229" t="n">
        <v>37.5306</v>
      </c>
    </row>
    <row r="230">
      <c r="A230" t="inlineStr">
        <is>
          <t>03 Dec 2025</t>
        </is>
      </c>
      <c r="C230" t="n">
        <v>36.7913</v>
      </c>
      <c r="D230" t="n">
        <v>37.511</v>
      </c>
    </row>
    <row r="231">
      <c r="A231" t="inlineStr">
        <is>
          <t>04 Dec 2025</t>
        </is>
      </c>
      <c r="C231" t="n">
        <v>36.8856</v>
      </c>
      <c r="D231" t="n">
        <v>37.5744</v>
      </c>
    </row>
    <row r="232">
      <c r="A232" t="inlineStr">
        <is>
          <t>08 Dec 2025</t>
        </is>
      </c>
      <c r="C232" t="n">
        <v>36.7429</v>
      </c>
      <c r="D232" t="n">
        <v>37.4646</v>
      </c>
    </row>
    <row r="233">
      <c r="A233" t="inlineStr">
        <is>
          <t>09 Dec 2025</t>
        </is>
      </c>
      <c r="C233" t="n">
        <v>36.7587</v>
      </c>
      <c r="D233" t="n">
        <v>37.4676</v>
      </c>
    </row>
    <row r="234">
      <c r="A234" t="inlineStr">
        <is>
          <t>11 Dec 2025</t>
        </is>
      </c>
      <c r="C234" t="n">
        <v>36.741</v>
      </c>
      <c r="D234" t="n">
        <v>37.4753</v>
      </c>
    </row>
    <row r="235">
      <c r="A235" t="inlineStr">
        <is>
          <t>12 Dec 2025</t>
        </is>
      </c>
      <c r="C235" t="n">
        <v>36.8013</v>
      </c>
      <c r="D235" t="n">
        <v>37.5109</v>
      </c>
    </row>
    <row r="236">
      <c r="A236" t="inlineStr">
        <is>
          <t>15 Dec 2025</t>
        </is>
      </c>
      <c r="C236" t="n">
        <v>36.6149</v>
      </c>
      <c r="D236" t="n">
        <v>37.3454</v>
      </c>
    </row>
    <row r="237">
      <c r="A237" t="inlineStr">
        <is>
          <t>16 Dec 2025</t>
        </is>
      </c>
      <c r="C237" t="n">
        <v>36.6626</v>
      </c>
      <c r="D237" t="n">
        <v>37.3614</v>
      </c>
    </row>
    <row r="238">
      <c r="A238" t="inlineStr">
        <is>
          <t>17 Dec 2025</t>
        </is>
      </c>
      <c r="C238" t="n">
        <v>36.5879</v>
      </c>
      <c r="D238" t="n">
        <v>37.2663</v>
      </c>
    </row>
    <row r="239">
      <c r="A239" t="inlineStr">
        <is>
          <t>18 Dec 2025</t>
        </is>
      </c>
      <c r="C239" t="n">
        <v>36.5975</v>
      </c>
      <c r="D239" t="n">
        <v>37.2797</v>
      </c>
    </row>
    <row r="240">
      <c r="A240" t="inlineStr">
        <is>
          <t>19 Dec 2025</t>
        </is>
      </c>
      <c r="C240" t="n">
        <v>36.5128</v>
      </c>
      <c r="D240" t="n">
        <v>37.1693</v>
      </c>
    </row>
    <row r="241">
      <c r="A241" t="inlineStr">
        <is>
          <t>22 Dec 2025</t>
        </is>
      </c>
      <c r="C241" t="n">
        <v>36.4462</v>
      </c>
      <c r="D241" t="n">
        <v>37.0712</v>
      </c>
    </row>
    <row r="242">
      <c r="A242" t="inlineStr">
        <is>
          <t>23 Dec 2025</t>
        </is>
      </c>
      <c r="C242" t="n">
        <v>36.2808</v>
      </c>
      <c r="D242" t="n">
        <v>36.9334</v>
      </c>
    </row>
    <row r="243">
      <c r="A243" t="inlineStr">
        <is>
          <t>24 Dec 2025</t>
        </is>
      </c>
      <c r="C243" t="n">
        <v>36.3113</v>
      </c>
      <c r="D243" t="n">
        <v>36.9881</v>
      </c>
    </row>
    <row r="244">
      <c r="A244" t="inlineStr">
        <is>
          <t>25 Dec 2025</t>
        </is>
      </c>
      <c r="C244" t="n">
        <v>36.3157</v>
      </c>
      <c r="D244" t="n">
        <v>36.962</v>
      </c>
    </row>
    <row r="245">
      <c r="A245" t="inlineStr">
        <is>
          <t>26 Dec 2025</t>
        </is>
      </c>
      <c r="C245" t="n">
        <v>36.2784</v>
      </c>
      <c r="D245" t="n">
        <v>36.8956</v>
      </c>
    </row>
    <row r="246">
      <c r="A246" t="inlineStr">
        <is>
          <t>29 Dec 2025</t>
        </is>
      </c>
      <c r="C246" t="n">
        <v>36.3821</v>
      </c>
      <c r="D246" t="n">
        <v>37.0273</v>
      </c>
    </row>
    <row r="247">
      <c r="A247" t="inlineStr">
        <is>
          <t>30 Dec 2025</t>
        </is>
      </c>
      <c r="C247" t="n">
        <v>36.8414</v>
      </c>
      <c r="D247" t="n">
        <v>37.5016</v>
      </c>
    </row>
    <row r="248">
      <c r="A248" t="inlineStr">
        <is>
          <t>05 Jan 2026</t>
        </is>
      </c>
      <c r="C248" t="n">
        <v>36.3697</v>
      </c>
      <c r="D248" t="n">
        <v>37.0608</v>
      </c>
    </row>
    <row r="249">
      <c r="A249" t="inlineStr">
        <is>
          <t>06 Jan 2026</t>
        </is>
      </c>
      <c r="C249" t="n">
        <v>36.2695</v>
      </c>
      <c r="D249" t="n">
        <v>36.9335</v>
      </c>
    </row>
    <row r="250">
      <c r="A250" t="inlineStr">
        <is>
          <t>07 Jan 2026</t>
        </is>
      </c>
      <c r="C250" t="n">
        <v>36.1837</v>
      </c>
      <c r="D250" t="n">
        <v>36.8762</v>
      </c>
    </row>
    <row r="251">
      <c r="A251" t="inlineStr">
        <is>
          <t>08 Jan 2026</t>
        </is>
      </c>
      <c r="C251" t="n">
        <v>36.3163</v>
      </c>
      <c r="D251" t="n">
        <v>37.0091</v>
      </c>
    </row>
    <row r="252">
      <c r="A252" t="inlineStr">
        <is>
          <t>09 Jan 2026</t>
        </is>
      </c>
      <c r="C252" t="n">
        <v>36.3254</v>
      </c>
      <c r="D252" t="n">
        <v>36.9908</v>
      </c>
    </row>
    <row r="253">
      <c r="A253" t="inlineStr">
        <is>
          <t>12 Jan 2026</t>
        </is>
      </c>
      <c r="C253" t="n">
        <v>36.0947</v>
      </c>
      <c r="D253" t="n">
        <v>36.7926</v>
      </c>
    </row>
    <row r="254">
      <c r="A254" t="inlineStr">
        <is>
          <t>13 Jan 2026</t>
        </is>
      </c>
      <c r="C254" t="n">
        <v>36.175</v>
      </c>
      <c r="D254" t="n">
        <v>36.8884</v>
      </c>
    </row>
    <row r="255">
      <c r="A255" t="inlineStr">
        <is>
          <t>14 Jan 2026</t>
        </is>
      </c>
      <c r="C255" t="n">
        <v>36.3108</v>
      </c>
      <c r="D255" t="n">
        <v>37.0093</v>
      </c>
    </row>
    <row r="256">
      <c r="A256" t="inlineStr">
        <is>
          <t>15 Jan 2026</t>
        </is>
      </c>
      <c r="C256" t="n">
        <v>36.2862</v>
      </c>
      <c r="D256" t="n">
        <v>36.9722</v>
      </c>
    </row>
    <row r="257">
      <c r="A257" t="inlineStr">
        <is>
          <t>16 Jan 2026</t>
        </is>
      </c>
      <c r="C257" t="n">
        <v>36.1036</v>
      </c>
      <c r="D257" t="n">
        <v>36.8043</v>
      </c>
    </row>
    <row r="258">
      <c r="A258" t="inlineStr">
        <is>
          <t>19 Jan 2026</t>
        </is>
      </c>
      <c r="C258" t="n">
        <v>36.001</v>
      </c>
      <c r="D258" t="n">
        <v>36.7286</v>
      </c>
    </row>
    <row r="259">
      <c r="A259" t="inlineStr">
        <is>
          <t>20 Jan 2026</t>
        </is>
      </c>
      <c r="C259" t="n">
        <v>35.9757</v>
      </c>
      <c r="D259" t="n">
        <v>36.6885</v>
      </c>
    </row>
    <row r="260">
      <c r="A260" t="inlineStr">
        <is>
          <t>21 Jan 2026</t>
        </is>
      </c>
      <c r="C260" t="n">
        <v>35.9982</v>
      </c>
      <c r="D260" t="n">
        <v>36.6887</v>
      </c>
    </row>
    <row r="261">
      <c r="A261" t="inlineStr">
        <is>
          <t>22 Jan 2026</t>
        </is>
      </c>
      <c r="C261" t="n">
        <v>36.2606</v>
      </c>
      <c r="D261" t="n">
        <v>36.9291</v>
      </c>
    </row>
    <row r="262">
      <c r="A262" t="inlineStr">
        <is>
          <t>23 Jan 2026</t>
        </is>
      </c>
      <c r="C262" t="n">
        <v>36.2625</v>
      </c>
      <c r="D262" t="n">
        <v>36.9041</v>
      </c>
    </row>
    <row r="263">
      <c r="A263" t="inlineStr">
        <is>
          <t>26 Jan 2026</t>
        </is>
      </c>
      <c r="C263" t="n">
        <v>36.4428</v>
      </c>
      <c r="D263" t="n">
        <v>37.1098</v>
      </c>
    </row>
    <row r="264">
      <c r="A264" t="inlineStr">
        <is>
          <t>27 Jan 2026</t>
        </is>
      </c>
      <c r="C264" t="n">
        <v>36.6693</v>
      </c>
      <c r="D264" t="n">
        <v>37.3069</v>
      </c>
    </row>
    <row r="265">
      <c r="A265" t="inlineStr">
        <is>
          <t>28 Jan 2026</t>
        </is>
      </c>
      <c r="C265" t="n">
        <v>36.8504</v>
      </c>
      <c r="D265" t="n">
        <v>37.4635</v>
      </c>
    </row>
    <row r="266">
      <c r="A266" t="inlineStr">
        <is>
          <t>29 Jan 2026</t>
        </is>
      </c>
      <c r="C266" t="n">
        <v>36.8958</v>
      </c>
      <c r="D266" t="n">
        <v>37.5229</v>
      </c>
    </row>
    <row r="267">
      <c r="A267" t="inlineStr">
        <is>
          <t>30 Jan 2026</t>
        </is>
      </c>
      <c r="C267" t="n">
        <v>37.0849</v>
      </c>
      <c r="D267" t="n">
        <v>37.7005</v>
      </c>
    </row>
    <row r="268">
      <c r="A268" t="inlineStr">
        <is>
          <t>02 Feb 2026</t>
        </is>
      </c>
      <c r="C268" t="n">
        <v>37.1326</v>
      </c>
      <c r="D268" t="n">
        <v>37.7706</v>
      </c>
    </row>
    <row r="269">
      <c r="A269" t="inlineStr">
        <is>
          <t>03 Feb 2026</t>
        </is>
      </c>
      <c r="C269" t="n">
        <v>36.8952</v>
      </c>
      <c r="D269" t="n">
        <v>37.5131</v>
      </c>
    </row>
    <row r="270">
      <c r="A270" t="inlineStr">
        <is>
          <t>04 Feb 2026</t>
        </is>
      </c>
      <c r="C270" t="n">
        <v>37.0755</v>
      </c>
      <c r="D270" t="n">
        <v>37.6779</v>
      </c>
    </row>
    <row r="271">
      <c r="A271" t="inlineStr">
        <is>
          <t>05 Feb 2026</t>
        </is>
      </c>
      <c r="C271" t="n">
        <v>37.1901</v>
      </c>
      <c r="D271" t="n">
        <v>37.8077</v>
      </c>
    </row>
    <row r="272">
      <c r="A272" t="inlineStr">
        <is>
          <t>06 Feb 2026</t>
        </is>
      </c>
      <c r="C272" t="n">
        <v>37.1248</v>
      </c>
      <c r="D272" t="n">
        <v>37.7765</v>
      </c>
    </row>
    <row r="273">
      <c r="A273" t="inlineStr">
        <is>
          <t>09 Feb 2026</t>
        </is>
      </c>
      <c r="C273" t="n">
        <v>36.7326</v>
      </c>
      <c r="D273" t="n">
        <v>37.3495</v>
      </c>
    </row>
    <row r="274">
      <c r="A274" t="inlineStr">
        <is>
          <t>10 Feb 2026</t>
        </is>
      </c>
      <c r="C274" t="n">
        <v>36.7154</v>
      </c>
      <c r="D274" t="n">
        <v>37.3653</v>
      </c>
    </row>
    <row r="275">
      <c r="A275" t="inlineStr">
        <is>
          <t>11 Feb 2026</t>
        </is>
      </c>
      <c r="C275" t="n">
        <v>36.7773</v>
      </c>
      <c r="D275" t="n">
        <v>37.4009</v>
      </c>
    </row>
    <row r="276">
      <c r="A276" t="inlineStr">
        <is>
          <t>12 Feb 2026</t>
        </is>
      </c>
      <c r="C276" t="n">
        <v>36.5275</v>
      </c>
      <c r="D276" t="n">
        <v>37.1789</v>
      </c>
    </row>
    <row r="277">
      <c r="A277" t="inlineStr">
        <is>
          <t>13 Feb 2026</t>
        </is>
      </c>
      <c r="C277" t="n">
        <v>36.5601</v>
      </c>
      <c r="D277" t="n">
        <v>37.1831</v>
      </c>
    </row>
    <row r="278">
      <c r="A278" t="inlineStr">
        <is>
          <t>16 Feb 2026</t>
        </is>
      </c>
      <c r="C278" t="n">
        <v>36.4381</v>
      </c>
      <c r="D278" t="n">
        <v>37.0955</v>
      </c>
    </row>
    <row r="279">
      <c r="A279" t="inlineStr">
        <is>
          <t>17 Feb 2026</t>
        </is>
      </c>
      <c r="C279" t="n">
        <v>36.585</v>
      </c>
      <c r="D279" t="n">
        <v>37.2756</v>
      </c>
    </row>
    <row r="280">
      <c r="A280" t="inlineStr">
        <is>
          <t>18 Feb 2026</t>
        </is>
      </c>
      <c r="C280" t="n">
        <v>36.6819</v>
      </c>
      <c r="D280" t="n">
        <v>37.3515</v>
      </c>
    </row>
    <row r="281">
      <c r="A281" t="inlineStr">
        <is>
          <t>19 Feb 2026</t>
        </is>
      </c>
      <c r="C281" t="n">
        <v>36.5023</v>
      </c>
      <c r="D281" t="n">
        <v>37.1401</v>
      </c>
    </row>
    <row r="282">
      <c r="A282" t="inlineStr">
        <is>
          <t>20 Feb 2026</t>
        </is>
      </c>
      <c r="C282" t="n">
        <v>36.3443</v>
      </c>
      <c r="D282" t="n">
        <v>36.961</v>
      </c>
    </row>
    <row r="283">
      <c r="A283" t="inlineStr">
        <is>
          <t>23 Feb 2026</t>
        </is>
      </c>
      <c r="C283" t="n">
        <v>36.3416</v>
      </c>
      <c r="D283" t="n">
        <v>36.9909</v>
      </c>
    </row>
    <row r="284">
      <c r="A284" t="inlineStr">
        <is>
          <t>24 Feb 2026</t>
        </is>
      </c>
      <c r="C284" t="n">
        <v>36.2968</v>
      </c>
      <c r="D284" t="n">
        <v>36.9279</v>
      </c>
    </row>
    <row r="285">
      <c r="A285" t="inlineStr">
        <is>
          <t>25 Feb 2026</t>
        </is>
      </c>
      <c r="C285" t="n">
        <v>36.227</v>
      </c>
      <c r="D285" t="n">
        <v>36.8908</v>
      </c>
    </row>
    <row r="286">
      <c r="A286" t="inlineStr">
        <is>
          <t>26 Feb 2026</t>
        </is>
      </c>
      <c r="C286" t="n">
        <v>36.3516</v>
      </c>
      <c r="D286" t="n">
        <v>37.0494</v>
      </c>
    </row>
    <row r="287">
      <c r="A287" t="inlineStr">
        <is>
          <t>27 Feb 2026</t>
        </is>
      </c>
      <c r="C287" t="n">
        <v>36.3758</v>
      </c>
      <c r="D287" t="n">
        <v>37.0424</v>
      </c>
    </row>
    <row r="288">
      <c r="A288" t="inlineStr">
        <is>
          <t>02 Mar 2026</t>
        </is>
      </c>
      <c r="C288" t="n">
        <v>36.448</v>
      </c>
      <c r="D288" t="n">
        <v>37.0852</v>
      </c>
    </row>
    <row r="289">
      <c r="A289" t="inlineStr">
        <is>
          <t>04 Mar 2026</t>
        </is>
      </c>
      <c r="C289" t="n">
        <v>36.3456</v>
      </c>
      <c r="D289" t="n">
        <v>36.9487</v>
      </c>
    </row>
    <row r="290">
      <c r="A290" t="inlineStr">
        <is>
          <t>05 Mar 2026</t>
        </is>
      </c>
      <c r="C290" t="n">
        <v>36.3641</v>
      </c>
      <c r="D290" t="n">
        <v>37.002</v>
      </c>
    </row>
    <row r="291">
      <c r="A291" t="inlineStr">
        <is>
          <t>06 Mar 2026</t>
        </is>
      </c>
      <c r="C291" t="n">
        <v>36.5559</v>
      </c>
      <c r="D291" t="n">
        <v>37.1622</v>
      </c>
    </row>
    <row r="292">
      <c r="A292" t="inlineStr">
        <is>
          <t>09 Mar 2026</t>
        </is>
      </c>
      <c r="C292" t="n">
        <v>36.6377</v>
      </c>
      <c r="D292" t="n">
        <v>37.2681</v>
      </c>
    </row>
    <row r="293">
      <c r="A293" t="inlineStr">
        <is>
          <t>10 Mar 2026</t>
        </is>
      </c>
      <c r="C293" t="n">
        <v>36.5659</v>
      </c>
      <c r="D293" t="n">
        <v>37.178</v>
      </c>
    </row>
    <row r="294">
      <c r="A294" t="inlineStr">
        <is>
          <t>11 Mar 2026</t>
        </is>
      </c>
      <c r="C294" t="n">
        <v>36.3947</v>
      </c>
      <c r="D294" t="n">
        <v>37.0177</v>
      </c>
    </row>
    <row r="295">
      <c r="A295" t="inlineStr">
        <is>
          <t>12 Mar 2026</t>
        </is>
      </c>
      <c r="C295" t="n">
        <v>36.5276</v>
      </c>
      <c r="D295" t="n">
        <v>37.1322</v>
      </c>
    </row>
    <row r="296">
      <c r="A296" t="inlineStr">
        <is>
          <t>13 Mar 2026</t>
        </is>
      </c>
      <c r="C296" t="n">
        <v>36.7332</v>
      </c>
      <c r="D296" t="n">
        <v>37.3723</v>
      </c>
    </row>
    <row r="297">
      <c r="A297" t="inlineStr">
        <is>
          <t>16 Mar 2026</t>
        </is>
      </c>
      <c r="C297" t="n">
        <v>36.7399</v>
      </c>
      <c r="D297" t="n">
        <v>37.4115</v>
      </c>
    </row>
  </sheetData>
  <mergeCells count="6">
    <mergeCell ref="A1:D1"/>
    <mergeCell ref="A4:A5"/>
    <mergeCell ref="D4:D5"/>
    <mergeCell ref="A3:D3"/>
    <mergeCell ref="A2:D2"/>
    <mergeCell ref="B4:C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Son_HR</dc:creator>
  <dcterms:created xsi:type="dcterms:W3CDTF">2026-03-09T03:27:50Z</dcterms:created>
  <dcterms:modified xsi:type="dcterms:W3CDTF">2026-03-17T09:02:52Z</dcterms:modified>
  <cp:lastModifiedBy>Son_HR</cp:lastModifiedBy>
</cp:coreProperties>
</file>